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Data Science\Projects\Excel\First Full Project\"/>
    </mc:Choice>
  </mc:AlternateContent>
  <xr:revisionPtr revIDLastSave="0" documentId="13_ncr:1_{10008B9B-A99C-4C40-BE4A-46A0AB1AB9F6}" xr6:coauthVersionLast="47" xr6:coauthVersionMax="47" xr10:uidLastSave="{00000000-0000-0000-0000-000000000000}"/>
  <bookViews>
    <workbookView xWindow="-108" yWindow="-108" windowWidth="23256" windowHeight="12720" firstSheet="3" activeTab="7" xr2:uid="{BEB173A4-8B59-4940-A6B1-DAB699F81C62}"/>
  </bookViews>
  <sheets>
    <sheet name="Database" sheetId="9" r:id="rId1"/>
    <sheet name="Sales Trends" sheetId="5" r:id="rId2"/>
    <sheet name="Sales by Representative" sheetId="6" r:id="rId3"/>
    <sheet name="Sales by Region" sheetId="7" r:id="rId4"/>
    <sheet name="Sales by Customer Type" sheetId="4" r:id="rId5"/>
    <sheet name="Sales by Customer" sheetId="2" r:id="rId6"/>
    <sheet name="Main" sheetId="1" r:id="rId7"/>
    <sheet name="Dashboard" sheetId="10" r:id="rId8"/>
  </sheets>
  <definedNames>
    <definedName name="_xlnm._FilterDatabase" localSheetId="0" hidden="1">Database!$C$8:$D$26</definedName>
    <definedName name="_xlnm._FilterDatabase" localSheetId="6" hidden="1">Main!$B$10:$B$28</definedName>
    <definedName name="_xlcn.WorksheetConnection_CustomerAnalyticsInteractiveDashboard.xlsxCustomer_Types_Table1" hidden="1">Customer_Types_Table[]</definedName>
    <definedName name="_xlcn.WorksheetConnection_CustomerAnalyticsInteractiveDashboard.xlsxMain_Table1" hidden="1">Main_Table[]</definedName>
    <definedName name="_xlnm.Extract" localSheetId="0">Database!$D$11:$E$11</definedName>
    <definedName name="_xlnm.Extract" localSheetId="6">Main!$K$10</definedName>
    <definedName name="Slicer_Customer_Name">#N/A</definedName>
    <definedName name="Slicer_Date__Month">#N/A</definedName>
    <definedName name="Slicer_Region">#N/A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in_Table" name="Main_Table" connection="WorksheetConnection_Customer Analytics Interactive Dashboard.xlsx!Main_Table"/>
          <x15:modelTable id="Customer_Types_Table" name="Customer_Types_Table" connection="WorksheetConnection_Customer Analytics Interactive Dashboard.xlsx!Customer_Types_Table"/>
        </x15:modelTables>
        <x15:modelRelationships>
          <x15:modelRelationship fromTable="Main_Table" fromColumn="Customer Name" toTable="Customer_Types_Table" toColumn="Customer Name"/>
        </x15:modelRelationships>
        <x15:extLst>
          <ext xmlns:x16="http://schemas.microsoft.com/office/spreadsheetml/2014/11/main" uri="{9835A34E-60A6-4A7C-AAB8-D5F71C897F49}">
            <x16:modelTimeGroupings>
              <x16:modelTimeGrouping tableName="Main_Table" columnName="Date" columnId="Date">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11" i="1" l="1"/>
  <c r="M12" i="1"/>
  <c r="M13" i="1"/>
  <c r="M14" i="1"/>
  <c r="M15" i="1"/>
  <c r="M16" i="1"/>
  <c r="M17" i="1"/>
  <c r="M18" i="1"/>
  <c r="M19" i="1"/>
  <c r="M20" i="1"/>
  <c r="L11" i="1"/>
  <c r="O11" i="1" s="1"/>
  <c r="L12" i="1"/>
  <c r="L13" i="1"/>
  <c r="N13" i="1" s="1" a="1"/>
  <c r="N13" i="1" s="1"/>
  <c r="L14" i="1"/>
  <c r="L15" i="1"/>
  <c r="N15" i="1" s="1" a="1"/>
  <c r="N15" i="1" s="1"/>
  <c r="L16" i="1"/>
  <c r="N16" i="1" s="1" a="1"/>
  <c r="N16" i="1" s="1"/>
  <c r="L17" i="1"/>
  <c r="N17" i="1" s="1" a="1"/>
  <c r="N17" i="1" s="1"/>
  <c r="L18" i="1"/>
  <c r="N18" i="1" s="1" a="1"/>
  <c r="N18" i="1" s="1"/>
  <c r="L19" i="1"/>
  <c r="N19" i="1" s="1" a="1"/>
  <c r="N19" i="1" s="1"/>
  <c r="L20" i="1"/>
  <c r="N20" i="1" s="1" a="1"/>
  <c r="N2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O12" i="1" l="1"/>
  <c r="O14" i="1"/>
  <c r="N14" i="1" a="1"/>
  <c r="N14" i="1" s="1"/>
  <c r="N12" i="1" a="1"/>
  <c r="N12" i="1" s="1"/>
  <c r="N11" i="1" a="1"/>
  <c r="N11" i="1" s="1"/>
  <c r="O20" i="1"/>
  <c r="O18" i="1"/>
  <c r="O17" i="1"/>
  <c r="O16" i="1"/>
  <c r="O15" i="1"/>
  <c r="O19" i="1"/>
  <c r="O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A0CA57-5F81-40FD-8910-F993207164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1649AC-A216-48F6-8D57-4647557CF696}" name="WorksheetConnection_Customer Analytics Interactive Dashboard.xlsx!Customer_Types_Table" type="102" refreshedVersion="8" minRefreshableVersion="5">
    <extLst>
      <ext xmlns:x15="http://schemas.microsoft.com/office/spreadsheetml/2010/11/main" uri="{DE250136-89BD-433C-8126-D09CA5730AF9}">
        <x15:connection id="Customer_Types_Table">
          <x15:rangePr sourceName="_xlcn.WorksheetConnection_CustomerAnalyticsInteractiveDashboard.xlsxCustomer_Types_Table1"/>
        </x15:connection>
      </ext>
    </extLst>
  </connection>
  <connection id="3" xr16:uid="{8FEEF0F5-E424-4F97-AB63-8E19D0D2BFFE}" name="WorksheetConnection_Customer Analytics Interactive Dashboard.xlsx!Main_Table" type="102" refreshedVersion="8" minRefreshableVersion="5">
    <extLst>
      <ext xmlns:x15="http://schemas.microsoft.com/office/spreadsheetml/2010/11/main" uri="{DE250136-89BD-433C-8126-D09CA5730AF9}">
        <x15:connection id="Main_Table" autoDelete="1">
          <x15:rangePr sourceName="_xlcn.WorksheetConnection_CustomerAnalyticsInteractiveDashboard.xlsxMain_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<sst xmlns="http://schemas.openxmlformats.org/spreadsheetml/2006/main" count="176" uniqueCount="60">
  <si>
    <t>Customer Data</t>
  </si>
  <si>
    <t>Customer Name</t>
  </si>
  <si>
    <t>Invoice</t>
  </si>
  <si>
    <t>Return</t>
  </si>
  <si>
    <t>Discount</t>
  </si>
  <si>
    <t>Amount</t>
  </si>
  <si>
    <t>Region</t>
  </si>
  <si>
    <t>Date</t>
  </si>
  <si>
    <t>Khaled Hassan</t>
  </si>
  <si>
    <t>Omar Zaki</t>
  </si>
  <si>
    <t>Tarek Ibrahim</t>
  </si>
  <si>
    <t>Youssef Ali</t>
  </si>
  <si>
    <t>Layla Soliman</t>
  </si>
  <si>
    <t>Mahmoud Fawzy</t>
  </si>
  <si>
    <t>Hany Kamel</t>
  </si>
  <si>
    <t>Adel Emad</t>
  </si>
  <si>
    <t>Sameh Nabil</t>
  </si>
  <si>
    <t>Amira Naguib</t>
  </si>
  <si>
    <t>Ahmed</t>
  </si>
  <si>
    <t>Karim</t>
  </si>
  <si>
    <t>Wael</t>
  </si>
  <si>
    <t>Nour</t>
  </si>
  <si>
    <t>Cairo</t>
  </si>
  <si>
    <t>Alexandria</t>
  </si>
  <si>
    <t>Tanta</t>
  </si>
  <si>
    <t>Giza</t>
  </si>
  <si>
    <t>Luxor</t>
  </si>
  <si>
    <t>Sohag</t>
  </si>
  <si>
    <t>Zagazig</t>
  </si>
  <si>
    <t>Tax (14%)</t>
  </si>
  <si>
    <t>Transaction</t>
  </si>
  <si>
    <t>Representative</t>
  </si>
  <si>
    <t>Row Labels</t>
  </si>
  <si>
    <t>Grand Total</t>
  </si>
  <si>
    <t>Net</t>
  </si>
  <si>
    <t>Sum of Net</t>
  </si>
  <si>
    <t>Jan</t>
  </si>
  <si>
    <t>Feb</t>
  </si>
  <si>
    <t>Mar</t>
  </si>
  <si>
    <t>Apr</t>
  </si>
  <si>
    <t>May</t>
  </si>
  <si>
    <t>Jun</t>
  </si>
  <si>
    <t>Jul</t>
  </si>
  <si>
    <t>Aug</t>
  </si>
  <si>
    <t>Sep</t>
  </si>
  <si>
    <t>Oct</t>
  </si>
  <si>
    <t>Nov</t>
  </si>
  <si>
    <t>Dec</t>
  </si>
  <si>
    <t>Qtr1</t>
  </si>
  <si>
    <t>Qtr2</t>
  </si>
  <si>
    <t>Qtr3</t>
  </si>
  <si>
    <t>Qtr4</t>
  </si>
  <si>
    <t>Customer Type</t>
  </si>
  <si>
    <t>Sales percentage</t>
  </si>
  <si>
    <t>Customer Types Table</t>
  </si>
  <si>
    <t>Important Customer</t>
  </si>
  <si>
    <t>Regular Customer</t>
  </si>
  <si>
    <t>Strong Customer</t>
  </si>
  <si>
    <t>Weak Customer</t>
  </si>
  <si>
    <t>Customer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</si>
</sst>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10000]d/m/yyyy;@"/>
    <numFmt numFmtId="165" formatCode="_([$EGP]\ * #,##0_);_([$EGP]\ * \(#,##0\);_([$EGP]\ * &quot;-&quot;?_);_(@_)"/>
    <numFmt numFmtId="166" formatCode="_([$EGP]\ * #,##0.00_);_([$EGP]\ * \(#,##0.00\);_([$EGP]\ * &quot;-&quot;??_);_(@_)"/>
  </numFmts>
  <fonts count="11" x14ac:knownFonts="1">
    <font>
      <sz val="11"/>
      <color theme="1"/>
      <name val="Aptos Narrow"/>
      <family val="2"/>
      <scheme val="minor"/>
    </font>
    <font>
      <sz val="11"/>
      <color rgb="FFFF0000"/>
      <name val="Aptos Narrow"/>
      <family val="2"/>
      <scheme val="minor"/>
    </font>
    <font>
      <sz val="12"/>
      <color theme="1"/>
      <name val="Aptos Narrow"/>
      <family val="2"/>
      <scheme val="minor"/>
    </font>
    <font>
      <sz val="14"/>
      <color theme="1"/>
      <name val="Aptos Narrow"/>
      <family val="2"/>
      <scheme val="minor"/>
    </font>
    <font>
      <sz val="20"/>
      <color theme="1"/>
      <name val="Aptos Narrow"/>
      <family val="2"/>
      <scheme val="minor"/>
    </font>
    <font>
      <sz val="12"/>
      <color theme="1" tint="4.9989318521683403E-2"/>
      <name val="Aptos Narrow"/>
      <family val="2"/>
      <scheme val="minor"/>
    </font>
    <font>
      <sz val="8"/>
      <name val="Aptos Narrow"/>
      <family val="2"/>
      <scheme val="minor"/>
    </font>
    <font>
      <sz val="14"/>
      <color theme="1" tint="4.9989318521683403E-2"/>
      <name val="Aptos Narrow"/>
      <family val="2"/>
      <scheme val="minor"/>
    </font>
    <font>
      <sz val="24"/>
      <color theme="2"/>
      <name val="Aptos Narrow"/>
      <family val="2"/>
      <scheme val="minor"/>
    </font>
    <font>
      <sz val="26"/>
      <color theme="2"/>
      <name val="Aptos Narrow"/>
      <family val="2"/>
      <scheme val="minor"/>
    </font>
    <font>
      <sz val="28"/>
      <color theme="0"/>
      <name val="Aptos Narrow"/>
      <family val="2"/>
      <scheme val="minor"/>
    </font>
  </fonts>
  <fills count="5">
    <fill>
      <patternFill patternType="none"/>
    </fill>
    <fill>
      <patternFill patternType="gray125"/>
    </fill>
    <fill>
      <patternFill patternType="solid">
        <fgColor theme="7" tint="-0.499984740745262"/>
        <bgColor indexed="64"/>
      </patternFill>
    </fill>
    <fill>
      <patternFill patternType="solid">
        <fgColor theme="5" tint="-0.249977111117893"/>
        <bgColor indexed="64"/>
      </patternFill>
    </fill>
    <fill>
      <patternFill patternType="solid">
        <fgColor theme="4" tint="0.399975585192419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8">
    <xf numFmtId="0" fontId="0" fillId="0" borderId="0" xfId="0"/>
    <xf numFmtId="164" fontId="0" fillId="0" borderId="0" xfId="0" applyNumberFormat="1"/>
    <xf numFmtId="0" fontId="2" fillId="0" borderId="0" xfId="0" applyFont="1"/>
    <xf numFmtId="164" fontId="2" fillId="0" borderId="0" xfId="0" applyNumberFormat="1" applyFont="1"/>
    <xf numFmtId="0" fontId="5" fillId="0" borderId="0" xfId="0" applyFont="1"/>
    <xf numFmtId="164" fontId="5" fillId="0" borderId="0" xfId="0" applyNumberFormat="1" applyFont="1"/>
    <xf numFmtId="165" fontId="0" fillId="0" borderId="0" xfId="0" applyNumberFormat="1"/>
    <xf numFmtId="165" fontId="2" fillId="0" borderId="0" xfId="0" applyNumberFormat="1" applyFont="1"/>
    <xf numFmtId="165" fontId="5" fillId="0" borderId="0" xfId="0" applyNumberFormat="1" applyFont="1"/>
    <xf numFmtId="0" fontId="0" fillId="2" borderId="0" xfId="0" applyFill="1" applyAlignment="1">
      <alignment horizontal="center"/>
    </xf>
    <xf numFmtId="165" fontId="0" fillId="2" borderId="0" xfId="0" applyNumberFormat="1" applyFill="1" applyAlignment="1">
      <alignment horizontal="center"/>
    </xf>
    <xf numFmtId="165" fontId="4" fillId="2" borderId="0" xfId="0" applyNumberFormat="1" applyFont="1" applyFill="1" applyAlignment="1">
      <alignment horizontal="center"/>
    </xf>
    <xf numFmtId="164" fontId="0" fillId="2" borderId="0" xfId="0" applyNumberFormat="1" applyFill="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3" fillId="0" borderId="0" xfId="0" applyFont="1"/>
    <xf numFmtId="0" fontId="7" fillId="0" borderId="0" xfId="0" applyFont="1"/>
    <xf numFmtId="165" fontId="7" fillId="0" borderId="0" xfId="0" applyNumberFormat="1" applyFont="1"/>
    <xf numFmtId="10" fontId="7" fillId="0" borderId="0" xfId="0" applyNumberFormat="1" applyFont="1"/>
    <xf numFmtId="165" fontId="3" fillId="0" borderId="0" xfId="0" applyNumberFormat="1" applyFont="1"/>
    <xf numFmtId="164" fontId="3" fillId="0" borderId="0" xfId="0" applyNumberFormat="1" applyFont="1"/>
    <xf numFmtId="164" fontId="7" fillId="0" borderId="0" xfId="0" applyNumberFormat="1" applyFont="1"/>
    <xf numFmtId="166" fontId="7" fillId="0" borderId="0" xfId="0" applyNumberFormat="1" applyFont="1"/>
    <xf numFmtId="165" fontId="9" fillId="2" borderId="0" xfId="0" applyNumberFormat="1" applyFont="1" applyFill="1" applyAlignment="1">
      <alignment horizontal="center"/>
    </xf>
    <xf numFmtId="0" fontId="8" fillId="3" borderId="0" xfId="0" applyFont="1" applyFill="1" applyAlignment="1">
      <alignment horizontal="center"/>
    </xf>
    <xf numFmtId="0" fontId="0" fillId="4" borderId="0" xfId="0" applyFill="1" applyAlignment="1">
      <alignment horizontal="center"/>
    </xf>
    <xf numFmtId="0" fontId="10" fillId="4" borderId="0" xfId="0" applyFont="1" applyFill="1" applyAlignment="1">
      <alignment horizontal="center"/>
    </xf>
  </cellXfs>
  <cellStyles count="1">
    <cellStyle name="Normal" xfId="0" builtinId="0"/>
  </cellStyles>
  <dxfs count="20">
    <dxf>
      <font>
        <color rgb="FF9C0006"/>
      </font>
      <fill>
        <patternFill>
          <bgColor rgb="FFFFC7CE"/>
        </patternFill>
      </fill>
    </dxf>
    <dxf>
      <border>
        <left style="thin">
          <color rgb="FF9C0006"/>
        </left>
        <right style="thin">
          <color rgb="FF9C0006"/>
        </right>
        <top style="thin">
          <color rgb="FF9C0006"/>
        </top>
        <bottom style="thin">
          <color rgb="FF9C0006"/>
        </bottom>
      </border>
    </dxf>
    <dxf>
      <fill>
        <patternFill>
          <bgColor rgb="FFFFC7CE"/>
        </patternFill>
      </fill>
    </dxf>
    <dxf>
      <font>
        <b val="0"/>
        <i val="0"/>
        <strike val="0"/>
        <condense val="0"/>
        <extend val="0"/>
        <outline val="0"/>
        <shadow val="0"/>
        <u val="none"/>
        <vertAlign val="baseline"/>
        <sz val="14"/>
        <color theme="1" tint="4.9989318521683403E-2"/>
        <name val="Aptos Narrow"/>
        <family val="2"/>
        <scheme val="minor"/>
      </font>
      <numFmt numFmtId="14" formatCode="0.00%"/>
    </dxf>
    <dxf>
      <font>
        <b val="0"/>
        <i val="0"/>
        <strike val="0"/>
        <condense val="0"/>
        <extend val="0"/>
        <outline val="0"/>
        <shadow val="0"/>
        <u val="none"/>
        <vertAlign val="baseline"/>
        <sz val="14"/>
        <color theme="1" tint="4.9989318521683403E-2"/>
        <name val="Aptos Narrow"/>
        <family val="2"/>
        <scheme val="minor"/>
      </font>
      <numFmt numFmtId="165" formatCode="_([$EGP]\ * #,##0_);_([$EGP]\ * \(#,##0\);_([$EGP]\ * &quot;-&quot;?_);_(@_)"/>
    </dxf>
    <dxf>
      <font>
        <b val="0"/>
        <i val="0"/>
        <strike val="0"/>
        <condense val="0"/>
        <extend val="0"/>
        <outline val="0"/>
        <shadow val="0"/>
        <u val="none"/>
        <vertAlign val="baseline"/>
        <sz val="14"/>
        <color theme="1" tint="4.9989318521683403E-2"/>
        <name val="Aptos Narrow"/>
        <family val="2"/>
        <scheme val="minor"/>
      </font>
      <numFmt numFmtId="0" formatCode="General"/>
    </dxf>
    <dxf>
      <font>
        <b val="0"/>
        <i val="0"/>
        <strike val="0"/>
        <condense val="0"/>
        <extend val="0"/>
        <outline val="0"/>
        <shadow val="0"/>
        <u val="none"/>
        <vertAlign val="baseline"/>
        <sz val="14"/>
        <color theme="1" tint="4.9989318521683403E-2"/>
        <name val="Aptos Narrow"/>
        <family val="2"/>
        <scheme val="minor"/>
      </font>
      <numFmt numFmtId="166" formatCode="_([$EGP]\ * #,##0.00_);_([$EGP]\ * \(#,##0.00\);_([$EGP]\ * &quot;-&quot;??_);_(@_)"/>
    </dxf>
    <dxf>
      <font>
        <b val="0"/>
        <i val="0"/>
        <strike val="0"/>
        <condense val="0"/>
        <extend val="0"/>
        <outline val="0"/>
        <shadow val="0"/>
        <u val="none"/>
        <vertAlign val="baseline"/>
        <sz val="14"/>
        <color theme="1" tint="4.9989318521683403E-2"/>
        <name val="Aptos Narrow"/>
        <family val="2"/>
        <scheme val="minor"/>
      </font>
    </dxf>
    <dxf>
      <font>
        <b val="0"/>
        <i val="0"/>
        <strike val="0"/>
        <condense val="0"/>
        <extend val="0"/>
        <outline val="0"/>
        <shadow val="0"/>
        <u val="none"/>
        <vertAlign val="baseline"/>
        <sz val="14"/>
        <color theme="1" tint="4.9989318521683403E-2"/>
        <name val="Aptos Narrow"/>
        <family val="2"/>
        <scheme val="minor"/>
      </font>
    </dxf>
    <dxf>
      <font>
        <b val="0"/>
        <i val="0"/>
        <strike val="0"/>
        <condense val="0"/>
        <extend val="0"/>
        <outline val="0"/>
        <shadow val="0"/>
        <u val="none"/>
        <vertAlign val="baseline"/>
        <sz val="14"/>
        <color theme="1"/>
        <name val="Aptos Narrow"/>
        <family val="2"/>
        <scheme val="minor"/>
      </font>
    </dxf>
    <dxf>
      <font>
        <strike val="0"/>
        <outline val="0"/>
        <shadow val="0"/>
        <u val="none"/>
        <vertAlign val="baseline"/>
        <sz val="14"/>
        <color theme="1" tint="4.9989318521683403E-2"/>
        <name val="Aptos Narrow"/>
        <family val="2"/>
        <scheme val="minor"/>
      </font>
    </dxf>
    <dxf>
      <font>
        <strike val="0"/>
        <outline val="0"/>
        <shadow val="0"/>
        <u val="none"/>
        <vertAlign val="baseline"/>
        <sz val="14"/>
        <color theme="1" tint="4.9989318521683403E-2"/>
        <name val="Aptos Narrow"/>
        <family val="2"/>
        <scheme val="minor"/>
      </font>
      <numFmt numFmtId="164" formatCode="[$-1010000]d/m/yyyy;@"/>
    </dxf>
    <dxf>
      <font>
        <strike val="0"/>
        <outline val="0"/>
        <shadow val="0"/>
        <u val="none"/>
        <vertAlign val="baseline"/>
        <sz val="14"/>
        <color theme="1" tint="4.9989318521683403E-2"/>
        <name val="Aptos Narrow"/>
        <family val="2"/>
        <scheme val="minor"/>
      </font>
    </dxf>
    <dxf>
      <font>
        <b val="0"/>
        <i val="0"/>
        <strike val="0"/>
        <condense val="0"/>
        <extend val="0"/>
        <outline val="0"/>
        <shadow val="0"/>
        <u val="none"/>
        <vertAlign val="baseline"/>
        <sz val="14"/>
        <color theme="1" tint="4.9989318521683403E-2"/>
        <name val="Aptos Narrow"/>
        <family val="2"/>
        <scheme val="minor"/>
      </font>
      <numFmt numFmtId="165" formatCode="_([$EGP]\ * #,##0_);_([$EGP]\ * \(#,##0\);_([$EGP]\ * &quot;-&quot;?_);_(@_)"/>
    </dxf>
    <dxf>
      <font>
        <strike val="0"/>
        <outline val="0"/>
        <shadow val="0"/>
        <u val="none"/>
        <vertAlign val="baseline"/>
        <sz val="14"/>
        <color theme="1" tint="4.9989318521683403E-2"/>
        <name val="Aptos Narrow"/>
        <family val="2"/>
        <scheme val="minor"/>
      </font>
      <numFmt numFmtId="165" formatCode="_([$EGP]\ * #,##0_);_([$EGP]\ * \(#,##0\);_([$EGP]\ * &quot;-&quot;?_);_(@_)"/>
    </dxf>
    <dxf>
      <font>
        <strike val="0"/>
        <outline val="0"/>
        <shadow val="0"/>
        <u val="none"/>
        <vertAlign val="baseline"/>
        <sz val="14"/>
        <color theme="1" tint="4.9989318521683403E-2"/>
        <name val="Aptos Narrow"/>
        <family val="2"/>
        <scheme val="minor"/>
      </font>
      <numFmt numFmtId="165" formatCode="_([$EGP]\ * #,##0_);_([$EGP]\ * \(#,##0\);_([$EGP]\ * &quot;-&quot;?_);_(@_)"/>
    </dxf>
    <dxf>
      <font>
        <strike val="0"/>
        <outline val="0"/>
        <shadow val="0"/>
        <u val="none"/>
        <vertAlign val="baseline"/>
        <sz val="14"/>
        <color theme="1" tint="4.9989318521683403E-2"/>
        <name val="Aptos Narrow"/>
        <family val="2"/>
        <scheme val="minor"/>
      </font>
    </dxf>
    <dxf>
      <font>
        <strike val="0"/>
        <outline val="0"/>
        <shadow val="0"/>
        <u val="none"/>
        <vertAlign val="baseline"/>
        <sz val="14"/>
        <color theme="1" tint="4.9989318521683403E-2"/>
        <name val="Aptos Narrow"/>
        <family val="2"/>
        <scheme val="minor"/>
      </font>
    </dxf>
    <dxf>
      <font>
        <strike val="0"/>
        <outline val="0"/>
        <shadow val="0"/>
        <u val="none"/>
        <vertAlign val="baseline"/>
        <sz val="14"/>
        <color theme="1" tint="4.9989318521683403E-2"/>
        <name val="Aptos Narrow"/>
        <family val="2"/>
        <scheme val="minor"/>
      </font>
    </dxf>
    <dxf>
      <font>
        <strike val="0"/>
        <outline val="0"/>
        <shadow val="0"/>
        <u val="none"/>
        <vertAlign val="baseline"/>
        <sz val="14"/>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Dashboard.xlsx]Sales Trends!Sales Trends</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Trends'!$B$6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multiLvlStrRef>
              <c:f>'Sales Trends'!$A$7:$A$23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'Sales Trends'!$B$7:$B$23</c:f>
              <c:numCache>
                <c:formatCode>General</c:formatCode>
                <c:ptCount val="12"/>
                <c:pt idx="0">
                  <c:v>10320</c:v>
                </c:pt>
                <c:pt idx="1">
                  <c:v>6880</c:v>
                </c:pt>
                <c:pt idx="2">
                  <c:v>5160</c:v>
                </c:pt>
                <c:pt idx="3">
                  <c:v>15480</c:v>
                </c:pt>
                <c:pt idx="4">
                  <c:v>25370</c:v>
                </c:pt>
                <c:pt idx="5">
                  <c:v>5848</c:v>
                </c:pt>
                <c:pt idx="6">
                  <c:v>4300</c:v>
                </c:pt>
                <c:pt idx="7">
                  <c:v>2580</c:v>
                </c:pt>
                <c:pt idx="8">
                  <c:v>3870</c:v>
                </c:pt>
                <c:pt idx="9">
                  <c:v>9460</c:v>
                </c:pt>
                <c:pt idx="10">
                  <c:v>15050</c:v>
                </c:pt>
                <c:pt idx="11">
                  <c:v>7740</c:v>
                </c:pt>
              </c:numCache>
            </c:numRef>
          </c:val>
          <c:smooth val="0"/>
          <c:extLst>
            <c:ext xmlns:c16="http://schemas.microsoft.com/office/drawing/2014/chart" uri="{C3380CC4-5D6E-409C-BE32-E72D297353CC}">
              <c16:uniqueId val="{00000001-3E35-499F-8337-990D0203FA82}"/>
            </c:ext>
          </c:extLst>
        </c:ser>
        <c:dLbls>
          <c:showLegendKey val="0"/>
          <c:showVal val="0"/>
          <c:showCatName val="0"/>
          <c:showSerName val="0"/>
          <c:showPercent val="0"/>
          <c:showBubbleSize val="0"/>
        </c:dLbls>
        <c:marker val="1"/>
        <c:smooth val="0"/>
        <c:axId val="2083593472"/>
        <c:axId val="2083596352"/>
      </c:lineChart>
      <c:catAx>
        <c:axId val="20835934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3596352"/>
        <c:crosses val="autoZero"/>
        <c:auto val="1"/>
        <c:lblAlgn val="ctr"/>
        <c:lblOffset val="100"/>
        <c:noMultiLvlLbl val="0"/>
      </c:catAx>
      <c:valAx>
        <c:axId val="2083596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359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Dashboard.xlsx]Sales by Representative!Sales by Representative</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Sels by Representative</a:t>
            </a:r>
          </a:p>
        </c:rich>
      </c:tx>
      <c:layout>
        <c:manualLayout>
          <c:xMode val="edge"/>
          <c:yMode val="edge"/>
          <c:x val="0.31615266841644801"/>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'Sales by Representative'!$B$6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Representative'!$A$7:$A$11</c:f>
              <c:strCache>
                <c:ptCount val="4"/>
                <c:pt idx="0">
                  <c:v>Ahmed</c:v>
                </c:pt>
                <c:pt idx="1">
                  <c:v>Karim</c:v>
                </c:pt>
                <c:pt idx="2">
                  <c:v>Nour</c:v>
                </c:pt>
                <c:pt idx="3">
                  <c:v>Wael</c:v>
                </c:pt>
              </c:strCache>
            </c:strRef>
          </c:cat>
          <c:val>
            <c:numRef>
              <c:f>'Sales by Representative'!$B$7:$B$11</c:f>
              <c:numCache>
                <c:formatCode>General</c:formatCode>
                <c:ptCount val="4"/>
                <c:pt idx="0">
                  <c:v>29068</c:v>
                </c:pt>
                <c:pt idx="1">
                  <c:v>28552</c:v>
                </c:pt>
                <c:pt idx="2">
                  <c:v>29928</c:v>
                </c:pt>
                <c:pt idx="3">
                  <c:v>24510</c:v>
                </c:pt>
              </c:numCache>
            </c:numRef>
          </c:val>
          <c:extLst>
            <c:ext xmlns:c16="http://schemas.microsoft.com/office/drawing/2014/chart" uri="{C3380CC4-5D6E-409C-BE32-E72D297353CC}">
              <c16:uniqueId val="{00000000-0618-40F0-B677-5533ABBE812A}"/>
            </c:ext>
          </c:extLst>
        </c:ser>
        <c:dLbls>
          <c:showLegendKey val="0"/>
          <c:showVal val="1"/>
          <c:showCatName val="0"/>
          <c:showSerName val="0"/>
          <c:showPercent val="0"/>
          <c:showBubbleSize val="0"/>
        </c:dLbls>
        <c:gapWidth val="150"/>
        <c:shape val="box"/>
        <c:axId val="1088472176"/>
        <c:axId val="1088485136"/>
        <c:axId val="0"/>
      </c:bar3DChart>
      <c:catAx>
        <c:axId val="1088472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485136"/>
        <c:crosses val="autoZero"/>
        <c:auto val="1"/>
        <c:lblAlgn val="ctr"/>
        <c:lblOffset val="100"/>
        <c:noMultiLvlLbl val="0"/>
      </c:catAx>
      <c:valAx>
        <c:axId val="108848513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47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Dashboard.xlsx]Sales by Region!Sales by Region</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layout>
        <c:manualLayout>
          <c:xMode val="edge"/>
          <c:yMode val="edge"/>
          <c:x val="0.36703431372549011"/>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Region'!$B$6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274-46A1-9355-EE247E82A5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274-46A1-9355-EE247E82A5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274-46A1-9355-EE247E82A59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274-46A1-9355-EE247E82A59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274-46A1-9355-EE247E82A59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274-46A1-9355-EE247E82A59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274-46A1-9355-EE247E82A597}"/>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Region'!$A$7:$A$14</c:f>
              <c:strCache>
                <c:ptCount val="7"/>
                <c:pt idx="0">
                  <c:v>Alexandria</c:v>
                </c:pt>
                <c:pt idx="1">
                  <c:v>Cairo</c:v>
                </c:pt>
                <c:pt idx="2">
                  <c:v>Giza</c:v>
                </c:pt>
                <c:pt idx="3">
                  <c:v>Luxor</c:v>
                </c:pt>
                <c:pt idx="4">
                  <c:v>Sohag</c:v>
                </c:pt>
                <c:pt idx="5">
                  <c:v>Tanta</c:v>
                </c:pt>
                <c:pt idx="6">
                  <c:v>Zagazig</c:v>
                </c:pt>
              </c:strCache>
            </c:strRef>
          </c:cat>
          <c:val>
            <c:numRef>
              <c:f>'Sales by Region'!$B$7:$B$14</c:f>
              <c:numCache>
                <c:formatCode>General</c:formatCode>
                <c:ptCount val="7"/>
                <c:pt idx="0">
                  <c:v>10062</c:v>
                </c:pt>
                <c:pt idx="1">
                  <c:v>8170</c:v>
                </c:pt>
                <c:pt idx="2">
                  <c:v>18490</c:v>
                </c:pt>
                <c:pt idx="3">
                  <c:v>24768</c:v>
                </c:pt>
                <c:pt idx="4">
                  <c:v>12900</c:v>
                </c:pt>
                <c:pt idx="5">
                  <c:v>22618</c:v>
                </c:pt>
                <c:pt idx="6">
                  <c:v>15050</c:v>
                </c:pt>
              </c:numCache>
            </c:numRef>
          </c:val>
          <c:extLst>
            <c:ext xmlns:c16="http://schemas.microsoft.com/office/drawing/2014/chart" uri="{C3380CC4-5D6E-409C-BE32-E72D297353CC}">
              <c16:uniqueId val="{0000000E-0274-46A1-9355-EE247E82A59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Dashboard.xlsx]Sales by Customer Type!Sales by Customer Type (Main)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a:t>
            </a:r>
            <a:r>
              <a:rPr lang="en-US" baseline="0"/>
              <a:t> Customer Type</a:t>
            </a:r>
          </a:p>
        </c:rich>
      </c:tx>
      <c:layout>
        <c:manualLayout>
          <c:xMode val="edge"/>
          <c:yMode val="edge"/>
          <c:x val="0.27718449256342959"/>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Customer Type'!$B$6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Customer Type'!$A$7:$A$11</c:f>
              <c:strCache>
                <c:ptCount val="4"/>
                <c:pt idx="0">
                  <c:v>Important Customer</c:v>
                </c:pt>
                <c:pt idx="1">
                  <c:v>Regular Customer</c:v>
                </c:pt>
                <c:pt idx="2">
                  <c:v>Strong Customer</c:v>
                </c:pt>
                <c:pt idx="3">
                  <c:v>Weak Customer</c:v>
                </c:pt>
              </c:strCache>
            </c:strRef>
          </c:cat>
          <c:val>
            <c:numRef>
              <c:f>'Sales by Customer Type'!$B$7:$B$11</c:f>
              <c:numCache>
                <c:formatCode>General</c:formatCode>
                <c:ptCount val="4"/>
                <c:pt idx="0">
                  <c:v>24768</c:v>
                </c:pt>
                <c:pt idx="1">
                  <c:v>57878</c:v>
                </c:pt>
                <c:pt idx="2">
                  <c:v>15050</c:v>
                </c:pt>
                <c:pt idx="3">
                  <c:v>14362</c:v>
                </c:pt>
              </c:numCache>
            </c:numRef>
          </c:val>
          <c:extLst>
            <c:ext xmlns:c16="http://schemas.microsoft.com/office/drawing/2014/chart" uri="{C3380CC4-5D6E-409C-BE32-E72D297353CC}">
              <c16:uniqueId val="{00000000-7978-4042-8D5C-7E20F321DC0C}"/>
            </c:ext>
          </c:extLst>
        </c:ser>
        <c:dLbls>
          <c:showLegendKey val="0"/>
          <c:showVal val="1"/>
          <c:showCatName val="0"/>
          <c:showSerName val="0"/>
          <c:showPercent val="0"/>
          <c:showBubbleSize val="0"/>
        </c:dLbls>
        <c:gapWidth val="150"/>
        <c:shape val="box"/>
        <c:axId val="1996287168"/>
        <c:axId val="1842349328"/>
        <c:axId val="0"/>
      </c:bar3DChart>
      <c:catAx>
        <c:axId val="19962871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349328"/>
        <c:crosses val="autoZero"/>
        <c:auto val="1"/>
        <c:lblAlgn val="ctr"/>
        <c:lblOffset val="100"/>
        <c:noMultiLvlLbl val="0"/>
      </c:catAx>
      <c:valAx>
        <c:axId val="1842349328"/>
        <c:scaling>
          <c:orientation val="minMax"/>
        </c:scaling>
        <c:delete val="1"/>
        <c:axPos val="b"/>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crossAx val="199628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Dashboard.xlsx]Sales by Customer!Sales by Customer</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a:t>
            </a:r>
            <a:r>
              <a:rPr lang="en-US" baseline="0"/>
              <a:t> Customer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Customer'!$B$5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Customer'!$A$6:$A$16</c:f>
              <c:strCache>
                <c:ptCount val="10"/>
                <c:pt idx="0">
                  <c:v>Adel Emad</c:v>
                </c:pt>
                <c:pt idx="1">
                  <c:v>Amira Naguib</c:v>
                </c:pt>
                <c:pt idx="2">
                  <c:v>Hany Kamel</c:v>
                </c:pt>
                <c:pt idx="3">
                  <c:v>Khaled Hassan</c:v>
                </c:pt>
                <c:pt idx="4">
                  <c:v>Layla Soliman</c:v>
                </c:pt>
                <c:pt idx="5">
                  <c:v>Mahmoud Fawzy</c:v>
                </c:pt>
                <c:pt idx="6">
                  <c:v>Omar Zaki</c:v>
                </c:pt>
                <c:pt idx="7">
                  <c:v>Sameh Nabil</c:v>
                </c:pt>
                <c:pt idx="8">
                  <c:v>Tarek Ibrahim</c:v>
                </c:pt>
                <c:pt idx="9">
                  <c:v>Youssef Ali</c:v>
                </c:pt>
              </c:strCache>
            </c:strRef>
          </c:cat>
          <c:val>
            <c:numRef>
              <c:f>'Sales by Customer'!$B$6:$B$16</c:f>
              <c:numCache>
                <c:formatCode>General</c:formatCode>
                <c:ptCount val="10"/>
                <c:pt idx="0">
                  <c:v>3870</c:v>
                </c:pt>
                <c:pt idx="1">
                  <c:v>15050</c:v>
                </c:pt>
                <c:pt idx="2">
                  <c:v>4300</c:v>
                </c:pt>
                <c:pt idx="3">
                  <c:v>8170</c:v>
                </c:pt>
                <c:pt idx="4">
                  <c:v>24768</c:v>
                </c:pt>
                <c:pt idx="5">
                  <c:v>12900</c:v>
                </c:pt>
                <c:pt idx="6">
                  <c:v>6192</c:v>
                </c:pt>
                <c:pt idx="7">
                  <c:v>9460</c:v>
                </c:pt>
                <c:pt idx="8">
                  <c:v>13158</c:v>
                </c:pt>
                <c:pt idx="9">
                  <c:v>14190</c:v>
                </c:pt>
              </c:numCache>
            </c:numRef>
          </c:val>
          <c:extLst>
            <c:ext xmlns:c16="http://schemas.microsoft.com/office/drawing/2014/chart" uri="{C3380CC4-5D6E-409C-BE32-E72D297353CC}">
              <c16:uniqueId val="{00000000-0427-4D4C-B412-AE46D72D431B}"/>
            </c:ext>
          </c:extLst>
        </c:ser>
        <c:dLbls>
          <c:showLegendKey val="0"/>
          <c:showVal val="1"/>
          <c:showCatName val="0"/>
          <c:showSerName val="0"/>
          <c:showPercent val="0"/>
          <c:showBubbleSize val="0"/>
        </c:dLbls>
        <c:gapWidth val="150"/>
        <c:shape val="box"/>
        <c:axId val="1122960351"/>
        <c:axId val="1122957951"/>
        <c:axId val="0"/>
      </c:bar3DChart>
      <c:catAx>
        <c:axId val="11229603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2957951"/>
        <c:crosses val="autoZero"/>
        <c:auto val="1"/>
        <c:lblAlgn val="ctr"/>
        <c:lblOffset val="100"/>
        <c:noMultiLvlLbl val="0"/>
      </c:catAx>
      <c:valAx>
        <c:axId val="112295795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296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Dashboard.xlsx]Sales by Customer!Sales by Customer</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a:t>
            </a:r>
            <a:r>
              <a:rPr lang="en-US" baseline="0"/>
              <a:t> Customer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Customer'!$B$5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Customer'!$A$6:$A$16</c:f>
              <c:strCache>
                <c:ptCount val="10"/>
                <c:pt idx="0">
                  <c:v>Adel Emad</c:v>
                </c:pt>
                <c:pt idx="1">
                  <c:v>Amira Naguib</c:v>
                </c:pt>
                <c:pt idx="2">
                  <c:v>Hany Kamel</c:v>
                </c:pt>
                <c:pt idx="3">
                  <c:v>Khaled Hassan</c:v>
                </c:pt>
                <c:pt idx="4">
                  <c:v>Layla Soliman</c:v>
                </c:pt>
                <c:pt idx="5">
                  <c:v>Mahmoud Fawzy</c:v>
                </c:pt>
                <c:pt idx="6">
                  <c:v>Omar Zaki</c:v>
                </c:pt>
                <c:pt idx="7">
                  <c:v>Sameh Nabil</c:v>
                </c:pt>
                <c:pt idx="8">
                  <c:v>Tarek Ibrahim</c:v>
                </c:pt>
                <c:pt idx="9">
                  <c:v>Youssef Ali</c:v>
                </c:pt>
              </c:strCache>
            </c:strRef>
          </c:cat>
          <c:val>
            <c:numRef>
              <c:f>'Sales by Customer'!$B$6:$B$16</c:f>
              <c:numCache>
                <c:formatCode>General</c:formatCode>
                <c:ptCount val="10"/>
                <c:pt idx="0">
                  <c:v>3870</c:v>
                </c:pt>
                <c:pt idx="1">
                  <c:v>15050</c:v>
                </c:pt>
                <c:pt idx="2">
                  <c:v>4300</c:v>
                </c:pt>
                <c:pt idx="3">
                  <c:v>8170</c:v>
                </c:pt>
                <c:pt idx="4">
                  <c:v>24768</c:v>
                </c:pt>
                <c:pt idx="5">
                  <c:v>12900</c:v>
                </c:pt>
                <c:pt idx="6">
                  <c:v>6192</c:v>
                </c:pt>
                <c:pt idx="7">
                  <c:v>9460</c:v>
                </c:pt>
                <c:pt idx="8">
                  <c:v>13158</c:v>
                </c:pt>
                <c:pt idx="9">
                  <c:v>14190</c:v>
                </c:pt>
              </c:numCache>
            </c:numRef>
          </c:val>
          <c:extLst>
            <c:ext xmlns:c16="http://schemas.microsoft.com/office/drawing/2014/chart" uri="{C3380CC4-5D6E-409C-BE32-E72D297353CC}">
              <c16:uniqueId val="{00000000-CA63-4F3B-AC82-7BCF70965BE2}"/>
            </c:ext>
          </c:extLst>
        </c:ser>
        <c:dLbls>
          <c:showLegendKey val="0"/>
          <c:showVal val="1"/>
          <c:showCatName val="0"/>
          <c:showSerName val="0"/>
          <c:showPercent val="0"/>
          <c:showBubbleSize val="0"/>
        </c:dLbls>
        <c:gapWidth val="150"/>
        <c:shape val="box"/>
        <c:axId val="1122960351"/>
        <c:axId val="1122957951"/>
        <c:axId val="0"/>
      </c:bar3DChart>
      <c:catAx>
        <c:axId val="11229603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2957951"/>
        <c:crosses val="autoZero"/>
        <c:auto val="1"/>
        <c:lblAlgn val="ctr"/>
        <c:lblOffset val="100"/>
        <c:noMultiLvlLbl val="0"/>
      </c:catAx>
      <c:valAx>
        <c:axId val="112295795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296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Dashboard.xlsx]Sales by Customer Type!Sales by Customer Type (Main)</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a:t>
            </a:r>
            <a:r>
              <a:rPr lang="en-US" baseline="0"/>
              <a:t> Customer Type</a:t>
            </a:r>
          </a:p>
        </c:rich>
      </c:tx>
      <c:layout>
        <c:manualLayout>
          <c:xMode val="edge"/>
          <c:yMode val="edge"/>
          <c:x val="0.27718449256342959"/>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Customer Type'!$B$6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Customer Type'!$A$7:$A$11</c:f>
              <c:strCache>
                <c:ptCount val="4"/>
                <c:pt idx="0">
                  <c:v>Important Customer</c:v>
                </c:pt>
                <c:pt idx="1">
                  <c:v>Regular Customer</c:v>
                </c:pt>
                <c:pt idx="2">
                  <c:v>Strong Customer</c:v>
                </c:pt>
                <c:pt idx="3">
                  <c:v>Weak Customer</c:v>
                </c:pt>
              </c:strCache>
            </c:strRef>
          </c:cat>
          <c:val>
            <c:numRef>
              <c:f>'Sales by Customer Type'!$B$7:$B$11</c:f>
              <c:numCache>
                <c:formatCode>General</c:formatCode>
                <c:ptCount val="4"/>
                <c:pt idx="0">
                  <c:v>24768</c:v>
                </c:pt>
                <c:pt idx="1">
                  <c:v>57878</c:v>
                </c:pt>
                <c:pt idx="2">
                  <c:v>15050</c:v>
                </c:pt>
                <c:pt idx="3">
                  <c:v>14362</c:v>
                </c:pt>
              </c:numCache>
            </c:numRef>
          </c:val>
          <c:extLst>
            <c:ext xmlns:c16="http://schemas.microsoft.com/office/drawing/2014/chart" uri="{C3380CC4-5D6E-409C-BE32-E72D297353CC}">
              <c16:uniqueId val="{00000000-17D4-48C9-A231-0A5FD821131F}"/>
            </c:ext>
          </c:extLst>
        </c:ser>
        <c:dLbls>
          <c:showLegendKey val="0"/>
          <c:showVal val="1"/>
          <c:showCatName val="0"/>
          <c:showSerName val="0"/>
          <c:showPercent val="0"/>
          <c:showBubbleSize val="0"/>
        </c:dLbls>
        <c:gapWidth val="150"/>
        <c:shape val="box"/>
        <c:axId val="1996287168"/>
        <c:axId val="1842349328"/>
        <c:axId val="0"/>
      </c:bar3DChart>
      <c:catAx>
        <c:axId val="19962871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349328"/>
        <c:crosses val="autoZero"/>
        <c:auto val="1"/>
        <c:lblAlgn val="ctr"/>
        <c:lblOffset val="100"/>
        <c:noMultiLvlLbl val="0"/>
      </c:catAx>
      <c:valAx>
        <c:axId val="1842349328"/>
        <c:scaling>
          <c:orientation val="minMax"/>
        </c:scaling>
        <c:delete val="1"/>
        <c:axPos val="b"/>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crossAx val="199628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Dashboard.xlsx]Sales by Region!Sales by Region</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layout>
        <c:manualLayout>
          <c:xMode val="edge"/>
          <c:yMode val="edge"/>
          <c:x val="0.36703431372549011"/>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Region'!$B$6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97-4BB6-B947-63F60F2340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97-4BB6-B947-63F60F23404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997-4BB6-B947-63F60F23404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997-4BB6-B947-63F60F23404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997-4BB6-B947-63F60F23404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997-4BB6-B947-63F60F23404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997-4BB6-B947-63F60F23404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Region'!$A$7:$A$14</c:f>
              <c:strCache>
                <c:ptCount val="7"/>
                <c:pt idx="0">
                  <c:v>Alexandria</c:v>
                </c:pt>
                <c:pt idx="1">
                  <c:v>Cairo</c:v>
                </c:pt>
                <c:pt idx="2">
                  <c:v>Giza</c:v>
                </c:pt>
                <c:pt idx="3">
                  <c:v>Luxor</c:v>
                </c:pt>
                <c:pt idx="4">
                  <c:v>Sohag</c:v>
                </c:pt>
                <c:pt idx="5">
                  <c:v>Tanta</c:v>
                </c:pt>
                <c:pt idx="6">
                  <c:v>Zagazig</c:v>
                </c:pt>
              </c:strCache>
            </c:strRef>
          </c:cat>
          <c:val>
            <c:numRef>
              <c:f>'Sales by Region'!$B$7:$B$14</c:f>
              <c:numCache>
                <c:formatCode>General</c:formatCode>
                <c:ptCount val="7"/>
                <c:pt idx="0">
                  <c:v>10062</c:v>
                </c:pt>
                <c:pt idx="1">
                  <c:v>8170</c:v>
                </c:pt>
                <c:pt idx="2">
                  <c:v>18490</c:v>
                </c:pt>
                <c:pt idx="3">
                  <c:v>24768</c:v>
                </c:pt>
                <c:pt idx="4">
                  <c:v>12900</c:v>
                </c:pt>
                <c:pt idx="5">
                  <c:v>22618</c:v>
                </c:pt>
                <c:pt idx="6">
                  <c:v>15050</c:v>
                </c:pt>
              </c:numCache>
            </c:numRef>
          </c:val>
          <c:extLst>
            <c:ext xmlns:c16="http://schemas.microsoft.com/office/drawing/2014/chart" uri="{C3380CC4-5D6E-409C-BE32-E72D297353CC}">
              <c16:uniqueId val="{0000000E-3997-4BB6-B947-63F60F23404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Dashboard.xlsx]Sales by Representative!Sales by Representative</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Representative</a:t>
            </a:r>
          </a:p>
        </c:rich>
      </c:tx>
      <c:layout>
        <c:manualLayout>
          <c:xMode val="edge"/>
          <c:yMode val="edge"/>
          <c:x val="0.31615266841644801"/>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'Sales by Representative'!$B$6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Representative'!$A$7:$A$11</c:f>
              <c:strCache>
                <c:ptCount val="4"/>
                <c:pt idx="0">
                  <c:v>Ahmed</c:v>
                </c:pt>
                <c:pt idx="1">
                  <c:v>Karim</c:v>
                </c:pt>
                <c:pt idx="2">
                  <c:v>Nour</c:v>
                </c:pt>
                <c:pt idx="3">
                  <c:v>Wael</c:v>
                </c:pt>
              </c:strCache>
            </c:strRef>
          </c:cat>
          <c:val>
            <c:numRef>
              <c:f>'Sales by Representative'!$B$7:$B$11</c:f>
              <c:numCache>
                <c:formatCode>General</c:formatCode>
                <c:ptCount val="4"/>
                <c:pt idx="0">
                  <c:v>29068</c:v>
                </c:pt>
                <c:pt idx="1">
                  <c:v>28552</c:v>
                </c:pt>
                <c:pt idx="2">
                  <c:v>29928</c:v>
                </c:pt>
                <c:pt idx="3">
                  <c:v>24510</c:v>
                </c:pt>
              </c:numCache>
            </c:numRef>
          </c:val>
          <c:extLst>
            <c:ext xmlns:c16="http://schemas.microsoft.com/office/drawing/2014/chart" uri="{C3380CC4-5D6E-409C-BE32-E72D297353CC}">
              <c16:uniqueId val="{00000000-6BB9-41BA-A528-0C497194CF93}"/>
            </c:ext>
          </c:extLst>
        </c:ser>
        <c:dLbls>
          <c:showLegendKey val="0"/>
          <c:showVal val="1"/>
          <c:showCatName val="0"/>
          <c:showSerName val="0"/>
          <c:showPercent val="0"/>
          <c:showBubbleSize val="0"/>
        </c:dLbls>
        <c:gapWidth val="150"/>
        <c:shape val="box"/>
        <c:axId val="1088472176"/>
        <c:axId val="1088485136"/>
        <c:axId val="0"/>
      </c:bar3DChart>
      <c:catAx>
        <c:axId val="1088472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485136"/>
        <c:crosses val="autoZero"/>
        <c:auto val="1"/>
        <c:lblAlgn val="ctr"/>
        <c:lblOffset val="100"/>
        <c:noMultiLvlLbl val="0"/>
      </c:catAx>
      <c:valAx>
        <c:axId val="108848513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47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Dashboard.xlsx]Sales Trends!Sales Trends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Trends'!$B$6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multiLvlStrRef>
              <c:f>'Sales Trends'!$A$7:$A$23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'Sales Trends'!$B$7:$B$23</c:f>
              <c:numCache>
                <c:formatCode>General</c:formatCode>
                <c:ptCount val="12"/>
                <c:pt idx="0">
                  <c:v>10320</c:v>
                </c:pt>
                <c:pt idx="1">
                  <c:v>6880</c:v>
                </c:pt>
                <c:pt idx="2">
                  <c:v>5160</c:v>
                </c:pt>
                <c:pt idx="3">
                  <c:v>15480</c:v>
                </c:pt>
                <c:pt idx="4">
                  <c:v>25370</c:v>
                </c:pt>
                <c:pt idx="5">
                  <c:v>5848</c:v>
                </c:pt>
                <c:pt idx="6">
                  <c:v>4300</c:v>
                </c:pt>
                <c:pt idx="7">
                  <c:v>2580</c:v>
                </c:pt>
                <c:pt idx="8">
                  <c:v>3870</c:v>
                </c:pt>
                <c:pt idx="9">
                  <c:v>9460</c:v>
                </c:pt>
                <c:pt idx="10">
                  <c:v>15050</c:v>
                </c:pt>
                <c:pt idx="11">
                  <c:v>7740</c:v>
                </c:pt>
              </c:numCache>
            </c:numRef>
          </c:val>
          <c:smooth val="0"/>
          <c:extLst>
            <c:ext xmlns:c16="http://schemas.microsoft.com/office/drawing/2014/chart" uri="{C3380CC4-5D6E-409C-BE32-E72D297353CC}">
              <c16:uniqueId val="{00000001-281A-405A-9273-234E434CD425}"/>
            </c:ext>
          </c:extLst>
        </c:ser>
        <c:dLbls>
          <c:showLegendKey val="0"/>
          <c:showVal val="0"/>
          <c:showCatName val="0"/>
          <c:showSerName val="0"/>
          <c:showPercent val="0"/>
          <c:showBubbleSize val="0"/>
        </c:dLbls>
        <c:marker val="1"/>
        <c:smooth val="0"/>
        <c:axId val="2083593472"/>
        <c:axId val="2083596352"/>
      </c:lineChart>
      <c:catAx>
        <c:axId val="20835934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3596352"/>
        <c:crosses val="autoZero"/>
        <c:auto val="1"/>
        <c:lblAlgn val="ctr"/>
        <c:lblOffset val="100"/>
        <c:noMultiLvlLbl val="0"/>
      </c:catAx>
      <c:valAx>
        <c:axId val="2083596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359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0</xdr:rowOff>
    </xdr:from>
    <xdr:to>
      <xdr:col>11</xdr:col>
      <xdr:colOff>449580</xdr:colOff>
      <xdr:row>21</xdr:row>
      <xdr:rowOff>0</xdr:rowOff>
    </xdr:to>
    <xdr:graphicFrame macro="">
      <xdr:nvGraphicFramePr>
        <xdr:cNvPr id="3" name="Chart 1">
          <a:extLst>
            <a:ext uri="{FF2B5EF4-FFF2-40B4-BE49-F238E27FC236}">
              <a16:creationId xmlns:a16="http://schemas.microsoft.com/office/drawing/2014/main" id="{31D94E1A-F10A-4FF2-B11A-E98A1E67E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0</xdr:rowOff>
    </xdr:from>
    <xdr:to>
      <xdr:col>10</xdr:col>
      <xdr:colOff>304800</xdr:colOff>
      <xdr:row>20</xdr:row>
      <xdr:rowOff>0</xdr:rowOff>
    </xdr:to>
    <xdr:graphicFrame macro="">
      <xdr:nvGraphicFramePr>
        <xdr:cNvPr id="3" name="Chart 1">
          <a:extLst>
            <a:ext uri="{FF2B5EF4-FFF2-40B4-BE49-F238E27FC236}">
              <a16:creationId xmlns:a16="http://schemas.microsoft.com/office/drawing/2014/main" id="{9754DB1C-D3B5-40F4-B9CA-D8C7846E2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7</xdr:row>
      <xdr:rowOff>0</xdr:rowOff>
    </xdr:from>
    <xdr:to>
      <xdr:col>9</xdr:col>
      <xdr:colOff>487680</xdr:colOff>
      <xdr:row>22</xdr:row>
      <xdr:rowOff>0</xdr:rowOff>
    </xdr:to>
    <xdr:graphicFrame macro="">
      <xdr:nvGraphicFramePr>
        <xdr:cNvPr id="3" name="Chart 1">
          <a:extLst>
            <a:ext uri="{FF2B5EF4-FFF2-40B4-BE49-F238E27FC236}">
              <a16:creationId xmlns:a16="http://schemas.microsoft.com/office/drawing/2014/main" id="{D6292900-7F37-4661-B18D-5E3E70A04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381000</xdr:colOff>
      <xdr:row>3</xdr:row>
      <xdr:rowOff>83820</xdr:rowOff>
    </xdr:from>
    <xdr:to>
      <xdr:col>10</xdr:col>
      <xdr:colOff>502920</xdr:colOff>
      <xdr:row>18</xdr:row>
      <xdr:rowOff>83820</xdr:rowOff>
    </xdr:to>
    <xdr:graphicFrame macro="">
      <xdr:nvGraphicFramePr>
        <xdr:cNvPr id="2" name="Chart 1">
          <a:extLst>
            <a:ext uri="{FF2B5EF4-FFF2-40B4-BE49-F238E27FC236}">
              <a16:creationId xmlns:a16="http://schemas.microsoft.com/office/drawing/2014/main" id="{64068EEB-9CAD-6F44-984A-F91609FE0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5</xdr:row>
      <xdr:rowOff>0</xdr:rowOff>
    </xdr:from>
    <xdr:to>
      <xdr:col>10</xdr:col>
      <xdr:colOff>304800</xdr:colOff>
      <xdr:row>20</xdr:row>
      <xdr:rowOff>0</xdr:rowOff>
    </xdr:to>
    <xdr:graphicFrame macro="">
      <xdr:nvGraphicFramePr>
        <xdr:cNvPr id="3" name="Chart 2">
          <a:extLst>
            <a:ext uri="{FF2B5EF4-FFF2-40B4-BE49-F238E27FC236}">
              <a16:creationId xmlns:a16="http://schemas.microsoft.com/office/drawing/2014/main" id="{D666B7E9-E7B3-4AEE-919C-ED5606035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325582</xdr:colOff>
      <xdr:row>18</xdr:row>
      <xdr:rowOff>151015</xdr:rowOff>
    </xdr:from>
    <xdr:to>
      <xdr:col>12</xdr:col>
      <xdr:colOff>20782</xdr:colOff>
      <xdr:row>34</xdr:row>
      <xdr:rowOff>12470</xdr:rowOff>
    </xdr:to>
    <xdr:graphicFrame macro="">
      <xdr:nvGraphicFramePr>
        <xdr:cNvPr id="2" name="Chart 1">
          <a:extLst>
            <a:ext uri="{FF2B5EF4-FFF2-40B4-BE49-F238E27FC236}">
              <a16:creationId xmlns:a16="http://schemas.microsoft.com/office/drawing/2014/main" id="{6FDAF8B4-2F08-F52C-27FC-6661911A9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323505</xdr:colOff>
      <xdr:row>34</xdr:row>
      <xdr:rowOff>65117</xdr:rowOff>
    </xdr:from>
    <xdr:to>
      <xdr:col>12</xdr:col>
      <xdr:colOff>18705</xdr:colOff>
      <xdr:row>49</xdr:row>
      <xdr:rowOff>106681</xdr:rowOff>
    </xdr:to>
    <xdr:graphicFrame macro="">
      <xdr:nvGraphicFramePr>
        <xdr:cNvPr id="3" name="Chart 2">
          <a:extLst>
            <a:ext uri="{FF2B5EF4-FFF2-40B4-BE49-F238E27FC236}">
              <a16:creationId xmlns:a16="http://schemas.microsoft.com/office/drawing/2014/main" id="{D88B8927-203E-47AA-84F1-A04A2A33D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173874</xdr:colOff>
      <xdr:row>18</xdr:row>
      <xdr:rowOff>153785</xdr:rowOff>
    </xdr:from>
    <xdr:to>
      <xdr:col>19</xdr:col>
      <xdr:colOff>478674</xdr:colOff>
      <xdr:row>34</xdr:row>
      <xdr:rowOff>15240</xdr:rowOff>
    </xdr:to>
    <xdr:graphicFrame macro="">
      <xdr:nvGraphicFramePr>
        <xdr:cNvPr id="4" name="Chart 1">
          <a:extLst>
            <a:ext uri="{FF2B5EF4-FFF2-40B4-BE49-F238E27FC236}">
              <a16:creationId xmlns:a16="http://schemas.microsoft.com/office/drawing/2014/main" id="{BE9915BE-2093-C7D1-EAC1-799E0F7E8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180109</xdr:colOff>
      <xdr:row>34</xdr:row>
      <xdr:rowOff>45374</xdr:rowOff>
    </xdr:from>
    <xdr:to>
      <xdr:col>19</xdr:col>
      <xdr:colOff>484909</xdr:colOff>
      <xdr:row>49</xdr:row>
      <xdr:rowOff>86938</xdr:rowOff>
    </xdr:to>
    <xdr:graphicFrame macro="">
      <xdr:nvGraphicFramePr>
        <xdr:cNvPr id="5" name="Chart 1">
          <a:extLst>
            <a:ext uri="{FF2B5EF4-FFF2-40B4-BE49-F238E27FC236}">
              <a16:creationId xmlns:a16="http://schemas.microsoft.com/office/drawing/2014/main" id="{340ECA3C-3006-E6B9-F1F5-A5E694671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283030</xdr:colOff>
      <xdr:row>4</xdr:row>
      <xdr:rowOff>163284</xdr:rowOff>
    </xdr:from>
    <xdr:to>
      <xdr:col>19</xdr:col>
      <xdr:colOff>446316</xdr:colOff>
      <xdr:row>18</xdr:row>
      <xdr:rowOff>95989</xdr:rowOff>
    </xdr:to>
    <xdr:graphicFrame macro="">
      <xdr:nvGraphicFramePr>
        <xdr:cNvPr id="6" name="Chart 1">
          <a:extLst>
            <a:ext uri="{FF2B5EF4-FFF2-40B4-BE49-F238E27FC236}">
              <a16:creationId xmlns:a16="http://schemas.microsoft.com/office/drawing/2014/main" id="{019063BD-48EF-EE78-53BC-9B25956F2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265798</xdr:colOff>
      <xdr:row>5</xdr:row>
      <xdr:rowOff>7928</xdr:rowOff>
    </xdr:from>
    <xdr:to>
      <xdr:col>4</xdr:col>
      <xdr:colOff>134180</xdr:colOff>
      <xdr:row>19</xdr:row>
      <xdr:rowOff>3352</xdr:rowOff>
    </xdr:to>
    <mc:AlternateContent xmlns:mc="http://schemas.openxmlformats.org/markup-compatibility/2006" xmlns:a14="http://schemas.microsoft.com/office/drawing/2010/main">
      <mc:Choice Requires="a14">
        <xdr:graphicFrame macro="">
          <xdr:nvGraphicFramePr>
            <xdr:cNvPr id="7" name="Customer Name">
              <a:extLst>
                <a:ext uri="{FF2B5EF4-FFF2-40B4-BE49-F238E27FC236}">
                  <a16:creationId xmlns:a16="http://schemas.microsoft.com/office/drawing/2014/main" id="{1531795E-2C4B-274C-4218-DDFCABB0ED5C}"/>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265798" y="933214"/>
              <a:ext cx="2306782" cy="2586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20</xdr:row>
      <xdr:rowOff>17557</xdr:rowOff>
    </xdr:from>
    <xdr:to>
      <xdr:col>4</xdr:col>
      <xdr:colOff>108857</xdr:colOff>
      <xdr:row>31</xdr:row>
      <xdr:rowOff>43543</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18A12294-AADE-E6BC-1D03-02C3A3C961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800" y="3718700"/>
              <a:ext cx="2242457" cy="2061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283029</xdr:colOff>
      <xdr:row>32</xdr:row>
      <xdr:rowOff>84821</xdr:rowOff>
    </xdr:from>
    <xdr:to>
      <xdr:col>4</xdr:col>
      <xdr:colOff>108856</xdr:colOff>
      <xdr:row>46</xdr:row>
      <xdr:rowOff>144569</xdr:rowOff>
    </xdr:to>
    <mc:AlternateContent xmlns:mc="http://schemas.openxmlformats.org/markup-compatibility/2006" xmlns:a14="http://schemas.microsoft.com/office/drawing/2010/main">
      <mc:Choice Requires="a14">
        <xdr:graphicFrame macro="">
          <xdr:nvGraphicFramePr>
            <xdr:cNvPr id="10" name="Date (Month)">
              <a:extLst>
                <a:ext uri="{FF2B5EF4-FFF2-40B4-BE49-F238E27FC236}">
                  <a16:creationId xmlns:a16="http://schemas.microsoft.com/office/drawing/2014/main" id="{F29DDB2B-0A2F-A8BD-F51C-C91AC337EEC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83029" y="6006650"/>
              <a:ext cx="2264227" cy="2650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20.750373958334" backgroundQuery="1" createdVersion="8" refreshedVersion="8" minRefreshableVersion="3" recordCount="0" supportSubquery="1" supportAdvancedDrill="1" xr:uid="{6FA17AE4-3265-45AB-9613-029610FCBF89}">
  <cacheSource type="external" connectionId="1"/>
  <cacheFields count="5">
    <cacheField name="[Main_Table].[Date (Month)].[Date (Month)]" caption="Date (Month)" numFmtId="0" hierarchy="13" level="1">
      <sharedItems count="12">
        <s v="Jan"/>
        <s v="Feb"/>
        <s v="Mar"/>
        <s v="Apr"/>
        <s v="May"/>
        <s v="Jun"/>
        <s v="Jul"/>
        <s v="Aug"/>
        <s v="Sep"/>
        <s v="Oct"/>
        <s v="Nov"/>
        <s v="Dec"/>
      </sharedItems>
    </cacheField>
    <cacheField name="[Measures].[Sum of Net]" caption="Sum of Net" numFmtId="0" hierarchy="19" level="32767"/>
    <cacheField name="[Main_Table].[Date].[Date]" caption="Date" numFmtId="0" hierarchy="11" level="1">
      <sharedItems containsSemiMixedTypes="0" containsNonDate="0" containsDate="1" containsString="0" minDate="2025-01-14T00:00:00" maxDate="2025-12-15T00:00:00" count="17">
        <d v="2025-01-14T00:00:00"/>
        <d v="2025-02-14T00:00:00"/>
        <d v="2025-03-14T00:00:00"/>
        <d v="2025-04-14T00:00:00"/>
        <d v="2025-05-14T00:00:00"/>
        <d v="2025-06-14T00:00:00"/>
        <d v="2025-06-15T00:00:00"/>
        <d v="2025-06-16T00:00:00"/>
        <d v="2025-06-17T00:00:00"/>
        <d v="2025-06-18T00:00:00"/>
        <d v="2025-06-21T00:00:00"/>
        <d v="2025-07-14T00:00:00"/>
        <d v="2025-08-14T00:00:00"/>
        <d v="2025-09-14T00:00:00"/>
        <d v="2025-10-14T00:00:00"/>
        <d v="2025-11-14T00:00:00"/>
        <d v="2025-12-14T00:00:00"/>
      </sharedItems>
    </cacheField>
    <cacheField name="[Main_Table].[Date (Quarter)].[Date (Quarter)]" caption="Date (Quarter)" numFmtId="0" hierarchy="14" level="1">
      <sharedItems count="4">
        <s v="Qtr1"/>
        <s v="Qtr2"/>
        <s v="Qtr3"/>
        <s v="Qtr4"/>
      </sharedItems>
    </cacheField>
    <cacheField name="[Main_Table].[Region].[Region]" caption="Region" numFmtId="0" hierarchy="10" level="1">
      <sharedItems containsSemiMixedTypes="0" containsNonDate="0" containsString="0"/>
    </cacheField>
  </cacheFields>
  <cacheHierarchies count="20">
    <cacheHierarchy uniqueName="[Customer_Types_Table].[Customer Name]" caption="Customer Name" attribute="1" defaultMemberUniqueName="[Customer_Types_Table].[Customer Name].[All]" allUniqueName="[Customer_Types_Table].[Customer Name].[All]" dimensionUniqueName="[Customer_Types_Table]" displayFolder="" count="0" memberValueDatatype="130" unbalanced="0"/>
    <cacheHierarchy uniqueName="[Customer_Types_Table].[Net]" caption="Net" attribute="1" defaultMemberUniqueName="[Customer_Types_Table].[Net].[All]" allUniqueName="[Customer_Types_Table].[Net].[All]" dimensionUniqueName="[Customer_Types_Table]" displayFolder="" count="0" memberValueDatatype="20" unbalanced="0"/>
    <cacheHierarchy uniqueName="[Customer_Types_Table].[Region]" caption="Region" attribute="1" defaultMemberUniqueName="[Customer_Types_Table].[Region].[All]" allUniqueName="[Customer_Types_Table].[Region].[All]" dimensionUniqueName="[Customer_Types_Table]" displayFolder="" count="0" memberValueDatatype="130" unbalanced="0"/>
    <cacheHierarchy uniqueName="[Customer_Types_Table].[Customer Type]" caption="Customer Type" attribute="1" defaultMemberUniqueName="[Customer_Types_Table].[Customer Type].[All]" allUniqueName="[Customer_Types_Table].[Customer Type].[All]" dimensionUniqueName="[Customer_Types_Table]" displayFolder="" count="2" memberValueDatatype="130" unbalanced="0"/>
    <cacheHierarchy uniqueName="[Customer_Types_Table].[Sales percentage]" caption="Sales percentage" attribute="1" defaultMemberUniqueName="[Customer_Types_Table].[Sales percentage].[All]" allUniqueName="[Customer_Types_Table].[Sales percentage].[All]" dimensionUniqueName="[Customer_Types_Table]" displayFolder="" count="0" memberValueDatatype="5" unbalanced="0"/>
    <cacheHierarchy uniqueName="[Main_Table].[Customer Name]" caption="Customer Name" attribute="1" defaultMemberUniqueName="[Main_Table].[Customer Name].[All]" allUniqueName="[Main_Table].[Customer Name].[All]" dimensionUniqueName="[Main_Table]" displayFolder="" count="2" memberValueDatatype="130" unbalanced="0"/>
    <cacheHierarchy uniqueName="[Main_Table].[Transaction]" caption="Transaction" attribute="1" defaultMemberUniqueName="[Main_Table].[Transaction].[All]" allUniqueName="[Main_Table].[Transaction].[All]" dimensionUniqueName="[Main_Table]" displayFolder="" count="0" memberValueDatatype="130" unbalanced="0"/>
    <cacheHierarchy uniqueName="[Main_Table].[Amount]" caption="Amount" attribute="1" defaultMemberUniqueName="[Main_Table].[Amount].[All]" allUniqueName="[Main_Table].[Amount].[All]" dimensionUniqueName="[Main_Table]" displayFolder="" count="0" memberValueDatatype="20" unbalanced="0"/>
    <cacheHierarchy uniqueName="[Main_Table].[Tax (14%)]" caption="Tax (14%)" attribute="1" defaultMemberUniqueName="[Main_Table].[Tax (14%)].[All]" allUniqueName="[Main_Table].[Tax (14%)].[All]" dimensionUniqueName="[Main_Table]" displayFolder="" count="0" memberValueDatatype="5" unbalanced="0"/>
    <cacheHierarchy uniqueName="[Main_Table].[Net]" caption="Net" attribute="1" defaultMemberUniqueName="[Main_Table].[Net].[All]" allUniqueName="[Main_Table].[Net].[All]" dimensionUniqueName="[Main_Table]" displayFolder="" count="0" memberValueDatatype="20" unbalanced="0"/>
    <cacheHierarchy uniqueName="[Main_Table].[Region]" caption="Region" attribute="1" defaultMemberUniqueName="[Main_Table].[Region].[All]" allUniqueName="[Main_Table].[Region].[All]" dimensionUniqueName="[Main_Table]" displayFolder="" count="2" memberValueDatatype="130" unbalanced="0">
      <fieldsUsage count="2">
        <fieldUsage x="-1"/>
        <fieldUsage x="4"/>
      </fieldsUsage>
    </cacheHierarchy>
    <cacheHierarchy uniqueName="[Main_Table].[Date]" caption="Date" attribute="1" time="1" defaultMemberUniqueName="[Main_Table].[Date].[All]" allUniqueName="[Main_Table].[Date].[All]" dimensionUniqueName="[Main_Table]" displayFolder="" count="2" memberValueDatatype="7" unbalanced="0">
      <fieldsUsage count="2">
        <fieldUsage x="-1"/>
        <fieldUsage x="2"/>
      </fieldsUsage>
    </cacheHierarchy>
    <cacheHierarchy uniqueName="[Main_Table].[Representative]" caption="Representative" attribute="1" defaultMemberUniqueName="[Main_Table].[Representative].[All]" allUniqueName="[Main_Table].[Representative].[All]" dimensionUniqueName="[Main_Table]" displayFolder="" count="0" memberValueDatatype="130" unbalanced="0"/>
    <cacheHierarchy uniqueName="[Main_Table].[Date (Month)]" caption="Date (Month)" attribute="1" defaultMemberUniqueName="[Main_Table].[Date (Month)].[All]" allUniqueName="[Main_Table].[Date (Month)].[All]" dimensionUniqueName="[Main_Table]" displayFolder="" count="2" memberValueDatatype="130" unbalanced="0">
      <fieldsUsage count="2">
        <fieldUsage x="-1"/>
        <fieldUsage x="0"/>
      </fieldsUsage>
    </cacheHierarchy>
    <cacheHierarchy uniqueName="[Main_Table].[Date (Quarter)]" caption="Date (Quarter)" attribute="1" defaultMemberUniqueName="[Main_Table].[Date (Quarter)].[All]" allUniqueName="[Main_Table].[Date (Quarter)].[All]" dimensionUniqueName="[Main_Table]" displayFolder="" count="2" memberValueDatatype="130" unbalanced="0">
      <fieldsUsage count="2">
        <fieldUsage x="-1"/>
        <fieldUsage x="3"/>
      </fieldsUsage>
    </cacheHierarchy>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XL_Count Customer_Types_Table]" caption="__XL_Count Customer_Types_Table" measure="1" displayFolder="" measureGroup="Customer_Types_Table" count="0" hidden="1"/>
    <cacheHierarchy uniqueName="[Measures].[__No measures defined]" caption="__No measures defined" measure="1" displayFolder="" count="0" hidden="1"/>
    <cacheHierarchy uniqueName="[Measures].[Sum of Net]" caption="Sum of Net" measure="1" displayFolder="" measureGroup="Main_Tabl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Customer_Types_Table" uniqueName="[Customer_Types_Table]" caption="Customer_Types_Table"/>
    <dimension name="Main_Table" uniqueName="[Main_Table]" caption="Main_Table"/>
    <dimension measure="1" name="Measures" uniqueName="[Measures]" caption="Measures"/>
  </dimensions>
  <measureGroups count="2">
    <measureGroup name="Customer_Types_Table" caption="Customer_Types_Table"/>
    <measureGroup name="Main_Table" caption="Main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20.750374537034" backgroundQuery="1" createdVersion="8" refreshedVersion="8" minRefreshableVersion="3" recordCount="0" supportSubquery="1" supportAdvancedDrill="1" xr:uid="{B3DB0532-D467-4FB8-8663-BCA424D16E16}">
  <cacheSource type="external" connectionId="1"/>
  <cacheFields count="3">
    <cacheField name="[Main_Table].[Customer Name].[Customer Name]" caption="Customer Name" numFmtId="0" hierarchy="5" level="1">
      <sharedItems count="10">
        <s v="Adel Emad"/>
        <s v="Amira Naguib"/>
        <s v="Hany Kamel"/>
        <s v="Khaled Hassan"/>
        <s v="Layla Soliman"/>
        <s v="Mahmoud Fawzy"/>
        <s v="Omar Zaki"/>
        <s v="Sameh Nabil"/>
        <s v="Tarek Ibrahim"/>
        <s v="Youssef Ali"/>
      </sharedItems>
    </cacheField>
    <cacheField name="[Measures].[Sum of Net]" caption="Sum of Net" numFmtId="0" hierarchy="19" level="32767"/>
    <cacheField name="[Main_Table].[Region].[Region]" caption="Region" numFmtId="0" hierarchy="10" level="1">
      <sharedItems containsSemiMixedTypes="0" containsNonDate="0" containsString="0"/>
    </cacheField>
  </cacheFields>
  <cacheHierarchies count="20">
    <cacheHierarchy uniqueName="[Customer_Types_Table].[Customer Name]" caption="Customer Name" attribute="1" defaultMemberUniqueName="[Customer_Types_Table].[Customer Name].[All]" allUniqueName="[Customer_Types_Table].[Customer Name].[All]" dimensionUniqueName="[Customer_Types_Table]" displayFolder="" count="0" memberValueDatatype="130" unbalanced="0"/>
    <cacheHierarchy uniqueName="[Customer_Types_Table].[Net]" caption="Net" attribute="1" defaultMemberUniqueName="[Customer_Types_Table].[Net].[All]" allUniqueName="[Customer_Types_Table].[Net].[All]" dimensionUniqueName="[Customer_Types_Table]" displayFolder="" count="0" memberValueDatatype="20" unbalanced="0"/>
    <cacheHierarchy uniqueName="[Customer_Types_Table].[Region]" caption="Region" attribute="1" defaultMemberUniqueName="[Customer_Types_Table].[Region].[All]" allUniqueName="[Customer_Types_Table].[Region].[All]" dimensionUniqueName="[Customer_Types_Table]" displayFolder="" count="0" memberValueDatatype="130" unbalanced="0"/>
    <cacheHierarchy uniqueName="[Customer_Types_Table].[Customer Type]" caption="Customer Type" attribute="1" defaultMemberUniqueName="[Customer_Types_Table].[Customer Type].[All]" allUniqueName="[Customer_Types_Table].[Customer Type].[All]" dimensionUniqueName="[Customer_Types_Table]" displayFolder="" count="2" memberValueDatatype="130" unbalanced="0"/>
    <cacheHierarchy uniqueName="[Customer_Types_Table].[Sales percentage]" caption="Sales percentage" attribute="1" defaultMemberUniqueName="[Customer_Types_Table].[Sales percentage].[All]" allUniqueName="[Customer_Types_Table].[Sales percentage].[All]" dimensionUniqueName="[Customer_Types_Table]" displayFolder="" count="0" memberValueDatatype="5" unbalanced="0"/>
    <cacheHierarchy uniqueName="[Main_Table].[Customer Name]" caption="Customer Name" attribute="1" defaultMemberUniqueName="[Main_Table].[Customer Name].[All]" allUniqueName="[Main_Table].[Customer Name].[All]" dimensionUniqueName="[Main_Table]" displayFolder="" count="2" memberValueDatatype="130" unbalanced="0">
      <fieldsUsage count="2">
        <fieldUsage x="-1"/>
        <fieldUsage x="0"/>
      </fieldsUsage>
    </cacheHierarchy>
    <cacheHierarchy uniqueName="[Main_Table].[Transaction]" caption="Transaction" attribute="1" defaultMemberUniqueName="[Main_Table].[Transaction].[All]" allUniqueName="[Main_Table].[Transaction].[All]" dimensionUniqueName="[Main_Table]" displayFolder="" count="0" memberValueDatatype="130" unbalanced="0"/>
    <cacheHierarchy uniqueName="[Main_Table].[Amount]" caption="Amount" attribute="1" defaultMemberUniqueName="[Main_Table].[Amount].[All]" allUniqueName="[Main_Table].[Amount].[All]" dimensionUniqueName="[Main_Table]" displayFolder="" count="0" memberValueDatatype="20" unbalanced="0"/>
    <cacheHierarchy uniqueName="[Main_Table].[Tax (14%)]" caption="Tax (14%)" attribute="1" defaultMemberUniqueName="[Main_Table].[Tax (14%)].[All]" allUniqueName="[Main_Table].[Tax (14%)].[All]" dimensionUniqueName="[Main_Table]" displayFolder="" count="0" memberValueDatatype="5" unbalanced="0"/>
    <cacheHierarchy uniqueName="[Main_Table].[Net]" caption="Net" attribute="1" defaultMemberUniqueName="[Main_Table].[Net].[All]" allUniqueName="[Main_Table].[Net].[All]" dimensionUniqueName="[Main_Table]" displayFolder="" count="0" memberValueDatatype="20" unbalanced="0"/>
    <cacheHierarchy uniqueName="[Main_Table].[Region]" caption="Region" attribute="1" defaultMemberUniqueName="[Main_Table].[Region].[All]" allUniqueName="[Main_Table].[Region].[All]" dimensionUniqueName="[Main_Table]" displayFolder="" count="2" memberValueDatatype="130" unbalanced="0">
      <fieldsUsage count="2">
        <fieldUsage x="-1"/>
        <fieldUsage x="2"/>
      </fieldsUsage>
    </cacheHierarchy>
    <cacheHierarchy uniqueName="[Main_Table].[Date]" caption="Date" attribute="1" time="1" defaultMemberUniqueName="[Main_Table].[Date].[All]" allUniqueName="[Main_Table].[Date].[All]" dimensionUniqueName="[Main_Table]" displayFolder="" count="0" memberValueDatatype="7" unbalanced="0"/>
    <cacheHierarchy uniqueName="[Main_Table].[Representative]" caption="Representative" attribute="1" defaultMemberUniqueName="[Main_Table].[Representative].[All]" allUniqueName="[Main_Table].[Representative].[All]" dimensionUniqueName="[Main_Table]" displayFolder="" count="0" memberValueDatatype="130" unbalanced="0"/>
    <cacheHierarchy uniqueName="[Main_Table].[Date (Month)]" caption="Date (Month)" attribute="1" defaultMemberUniqueName="[Main_Table].[Date (Month)].[All]" allUniqueName="[Main_Table].[Date (Month)].[All]" dimensionUniqueName="[Main_Table]" displayFolder="" count="2" memberValueDatatype="130" unbalanced="0"/>
    <cacheHierarchy uniqueName="[Main_Table].[Date (Quarter)]" caption="Date (Quarter)" attribute="1" defaultMemberUniqueName="[Main_Table].[Date (Quarter)].[All]" allUniqueName="[Main_Table].[Date (Quarter)].[All]" dimensionUniqueName="[Main_Table]" displayFolder="" count="0" memberValueDatatype="130" unbalanced="0"/>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XL_Count Customer_Types_Table]" caption="__XL_Count Customer_Types_Table" measure="1" displayFolder="" measureGroup="Customer_Types_Table" count="0" hidden="1"/>
    <cacheHierarchy uniqueName="[Measures].[__No measures defined]" caption="__No measures defined" measure="1" displayFolder="" count="0" hidden="1"/>
    <cacheHierarchy uniqueName="[Measures].[Sum of Net]" caption="Sum of Net" measure="1" displayFolder="" measureGroup="Main_Tabl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Customer_Types_Table" uniqueName="[Customer_Types_Table]" caption="Customer_Types_Table"/>
    <dimension name="Main_Table" uniqueName="[Main_Table]" caption="Main_Table"/>
    <dimension measure="1" name="Measures" uniqueName="[Measures]" caption="Measures"/>
  </dimensions>
  <measureGroups count="2">
    <measureGroup name="Customer_Types_Table" caption="Customer_Types_Table"/>
    <measureGroup name="Main_Table" caption="Main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20.750374537034" backgroundQuery="1" createdVersion="8" refreshedVersion="8" minRefreshableVersion="3" recordCount="0" supportSubquery="1" supportAdvancedDrill="1" xr:uid="{9075DB9A-B388-421C-BED7-D7277FAD3DA6}">
  <cacheSource type="external" connectionId="1"/>
  <cacheFields count="1">
    <cacheField name="[Main_Table].[Region].[Region]" caption="Region" numFmtId="0" hierarchy="10" level="1">
      <sharedItems containsSemiMixedTypes="0" containsNonDate="0" containsString="0"/>
    </cacheField>
  </cacheFields>
  <cacheHierarchies count="20">
    <cacheHierarchy uniqueName="[Customer_Types_Table].[Customer Name]" caption="Customer Name" attribute="1" defaultMemberUniqueName="[Customer_Types_Table].[Customer Name].[All]" allUniqueName="[Customer_Types_Table].[Customer Name].[All]" dimensionUniqueName="[Customer_Types_Table]" displayFolder="" count="0" memberValueDatatype="130" unbalanced="0"/>
    <cacheHierarchy uniqueName="[Customer_Types_Table].[Net]" caption="Net" attribute="1" defaultMemberUniqueName="[Customer_Types_Table].[Net].[All]" allUniqueName="[Customer_Types_Table].[Net].[All]" dimensionUniqueName="[Customer_Types_Table]" displayFolder="" count="0" memberValueDatatype="20" unbalanced="0"/>
    <cacheHierarchy uniqueName="[Customer_Types_Table].[Region]" caption="Region" attribute="1" defaultMemberUniqueName="[Customer_Types_Table].[Region].[All]" allUniqueName="[Customer_Types_Table].[Region].[All]" dimensionUniqueName="[Customer_Types_Table]" displayFolder="" count="0" memberValueDatatype="130" unbalanced="0"/>
    <cacheHierarchy uniqueName="[Customer_Types_Table].[Customer Type]" caption="Customer Type" attribute="1" defaultMemberUniqueName="[Customer_Types_Table].[Customer Type].[All]" allUniqueName="[Customer_Types_Table].[Customer Type].[All]" dimensionUniqueName="[Customer_Types_Table]" displayFolder="" count="2" memberValueDatatype="130" unbalanced="0"/>
    <cacheHierarchy uniqueName="[Customer_Types_Table].[Sales percentage]" caption="Sales percentage" attribute="1" defaultMemberUniqueName="[Customer_Types_Table].[Sales percentage].[All]" allUniqueName="[Customer_Types_Table].[Sales percentage].[All]" dimensionUniqueName="[Customer_Types_Table]" displayFolder="" count="0" memberValueDatatype="5" unbalanced="0"/>
    <cacheHierarchy uniqueName="[Main_Table].[Customer Name]" caption="Customer Name" attribute="1" defaultMemberUniqueName="[Main_Table].[Customer Name].[All]" allUniqueName="[Main_Table].[Customer Name].[All]" dimensionUniqueName="[Main_Table]" displayFolder="" count="2" memberValueDatatype="130" unbalanced="0"/>
    <cacheHierarchy uniqueName="[Main_Table].[Transaction]" caption="Transaction" attribute="1" defaultMemberUniqueName="[Main_Table].[Transaction].[All]" allUniqueName="[Main_Table].[Transaction].[All]" dimensionUniqueName="[Main_Table]" displayFolder="" count="0" memberValueDatatype="130" unbalanced="0"/>
    <cacheHierarchy uniqueName="[Main_Table].[Amount]" caption="Amount" attribute="1" defaultMemberUniqueName="[Main_Table].[Amount].[All]" allUniqueName="[Main_Table].[Amount].[All]" dimensionUniqueName="[Main_Table]" displayFolder="" count="0" memberValueDatatype="20" unbalanced="0"/>
    <cacheHierarchy uniqueName="[Main_Table].[Tax (14%)]" caption="Tax (14%)" attribute="1" defaultMemberUniqueName="[Main_Table].[Tax (14%)].[All]" allUniqueName="[Main_Table].[Tax (14%)].[All]" dimensionUniqueName="[Main_Table]" displayFolder="" count="0" memberValueDatatype="5" unbalanced="0"/>
    <cacheHierarchy uniqueName="[Main_Table].[Net]" caption="Net" attribute="1" defaultMemberUniqueName="[Main_Table].[Net].[All]" allUniqueName="[Main_Table].[Net].[All]" dimensionUniqueName="[Main_Table]" displayFolder="" count="0" memberValueDatatype="20" unbalanced="0"/>
    <cacheHierarchy uniqueName="[Main_Table].[Region]" caption="Region" attribute="1" defaultMemberUniqueName="[Main_Table].[Region].[All]" allUniqueName="[Main_Table].[Region].[All]" dimensionUniqueName="[Main_Table]" displayFolder="" count="2" memberValueDatatype="130" unbalanced="0">
      <fieldsUsage count="2">
        <fieldUsage x="-1"/>
        <fieldUsage x="0"/>
      </fieldsUsage>
    </cacheHierarchy>
    <cacheHierarchy uniqueName="[Main_Table].[Date]" caption="Date" attribute="1" time="1" defaultMemberUniqueName="[Main_Table].[Date].[All]" allUniqueName="[Main_Table].[Date].[All]" dimensionUniqueName="[Main_Table]" displayFolder="" count="0" memberValueDatatype="7" unbalanced="0"/>
    <cacheHierarchy uniqueName="[Main_Table].[Representative]" caption="Representative" attribute="1" defaultMemberUniqueName="[Main_Table].[Representative].[All]" allUniqueName="[Main_Table].[Representative].[All]" dimensionUniqueName="[Main_Table]" displayFolder="" count="0" memberValueDatatype="130" unbalanced="0"/>
    <cacheHierarchy uniqueName="[Main_Table].[Date (Month)]" caption="Date (Month)" attribute="1" defaultMemberUniqueName="[Main_Table].[Date (Month)].[All]" allUniqueName="[Main_Table].[Date (Month)].[All]" dimensionUniqueName="[Main_Table]" displayFolder="" count="2" memberValueDatatype="130" unbalanced="0"/>
    <cacheHierarchy uniqueName="[Main_Table].[Date (Quarter)]" caption="Date (Quarter)" attribute="1" defaultMemberUniqueName="[Main_Table].[Date (Quarter)].[All]" allUniqueName="[Main_Table].[Date (Quarter)].[All]" dimensionUniqueName="[Main_Table]" displayFolder="" count="0" memberValueDatatype="130" unbalanced="0"/>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XL_Count Customer_Types_Table]" caption="__XL_Count Customer_Types_Table" measure="1" displayFolder="" measureGroup="Customer_Types_Table" count="0" hidden="1"/>
    <cacheHierarchy uniqueName="[Measures].[__No measures defined]" caption="__No measures defined" measure="1" displayFolder="" count="0" hidden="1"/>
    <cacheHierarchy uniqueName="[Measures].[Sum of Net]" caption="Sum of Net" measure="1" displayFolder="" measureGroup="Main_Table" count="0" hidden="1">
      <extLst>
        <ext xmlns:x15="http://schemas.microsoft.com/office/spreadsheetml/2010/11/main" uri="{B97F6D7D-B522-45F9-BDA1-12C45D357490}">
          <x15:cacheHierarchy aggregatedColumn="9"/>
        </ext>
      </extLst>
    </cacheHierarchy>
  </cacheHierarchies>
  <kpis count="0"/>
  <dimensions count="3">
    <dimension name="Customer_Types_Table" uniqueName="[Customer_Types_Table]" caption="Customer_Types_Table"/>
    <dimension name="Main_Table" uniqueName="[Main_Table]" caption="Main_Table"/>
    <dimension measure="1" name="Measures" uniqueName="[Measures]" caption="Measures"/>
  </dimensions>
  <measureGroups count="2">
    <measureGroup name="Customer_Types_Table" caption="Customer_Types_Table"/>
    <measureGroup name="Main_Table" caption="Main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20.750374884257" backgroundQuery="1" createdVersion="8" refreshedVersion="8" minRefreshableVersion="3" recordCount="0" supportSubquery="1" supportAdvancedDrill="1" xr:uid="{9EF089DA-3B65-4789-96A6-9EF1F80B6D06}">
  <cacheSource type="external" connectionId="1"/>
  <cacheFields count="3">
    <cacheField name="[Measures].[Sum of Net]" caption="Sum of Net" numFmtId="0" hierarchy="19" level="32767"/>
    <cacheField name="[Customer_Types_Table].[Customer Type].[Customer Type]" caption="Customer Type" numFmtId="0" hierarchy="3" level="1">
      <sharedItems count="4">
        <s v="Important Customer"/>
        <s v="Regular Customer"/>
        <s v="Strong Customer"/>
        <s v="Weak Customer"/>
      </sharedItems>
    </cacheField>
    <cacheField name="[Main_Table].[Region].[Region]" caption="Region" numFmtId="0" hierarchy="10" level="1">
      <sharedItems containsSemiMixedTypes="0" containsNonDate="0" containsString="0"/>
    </cacheField>
  </cacheFields>
  <cacheHierarchies count="20">
    <cacheHierarchy uniqueName="[Customer_Types_Table].[Customer Name]" caption="Customer Name" attribute="1" defaultMemberUniqueName="[Customer_Types_Table].[Customer Name].[All]" allUniqueName="[Customer_Types_Table].[Customer Name].[All]" dimensionUniqueName="[Customer_Types_Table]" displayFolder="" count="0" memberValueDatatype="130" unbalanced="0"/>
    <cacheHierarchy uniqueName="[Customer_Types_Table].[Net]" caption="Net" attribute="1" defaultMemberUniqueName="[Customer_Types_Table].[Net].[All]" allUniqueName="[Customer_Types_Table].[Net].[All]" dimensionUniqueName="[Customer_Types_Table]" displayFolder="" count="0" memberValueDatatype="20" unbalanced="0"/>
    <cacheHierarchy uniqueName="[Customer_Types_Table].[Region]" caption="Region" attribute="1" defaultMemberUniqueName="[Customer_Types_Table].[Region].[All]" allUniqueName="[Customer_Types_Table].[Region].[All]" dimensionUniqueName="[Customer_Types_Table]" displayFolder="" count="0" memberValueDatatype="130" unbalanced="0"/>
    <cacheHierarchy uniqueName="[Customer_Types_Table].[Customer Type]" caption="Customer Type" attribute="1" defaultMemberUniqueName="[Customer_Types_Table].[Customer Type].[All]" allUniqueName="[Customer_Types_Table].[Customer Type].[All]" dimensionUniqueName="[Customer_Types_Table]" displayFolder="" count="2" memberValueDatatype="130" unbalanced="0">
      <fieldsUsage count="2">
        <fieldUsage x="-1"/>
        <fieldUsage x="1"/>
      </fieldsUsage>
    </cacheHierarchy>
    <cacheHierarchy uniqueName="[Customer_Types_Table].[Sales percentage]" caption="Sales percentage" attribute="1" defaultMemberUniqueName="[Customer_Types_Table].[Sales percentage].[All]" allUniqueName="[Customer_Types_Table].[Sales percentage].[All]" dimensionUniqueName="[Customer_Types_Table]" displayFolder="" count="0" memberValueDatatype="5" unbalanced="0"/>
    <cacheHierarchy uniqueName="[Main_Table].[Customer Name]" caption="Customer Name" attribute="1" defaultMemberUniqueName="[Main_Table].[Customer Name].[All]" allUniqueName="[Main_Table].[Customer Name].[All]" dimensionUniqueName="[Main_Table]" displayFolder="" count="2" memberValueDatatype="130" unbalanced="0"/>
    <cacheHierarchy uniqueName="[Main_Table].[Transaction]" caption="Transaction" attribute="1" defaultMemberUniqueName="[Main_Table].[Transaction].[All]" allUniqueName="[Main_Table].[Transaction].[All]" dimensionUniqueName="[Main_Table]" displayFolder="" count="0" memberValueDatatype="130" unbalanced="0"/>
    <cacheHierarchy uniqueName="[Main_Table].[Amount]" caption="Amount" attribute="1" defaultMemberUniqueName="[Main_Table].[Amount].[All]" allUniqueName="[Main_Table].[Amount].[All]" dimensionUniqueName="[Main_Table]" displayFolder="" count="0" memberValueDatatype="20" unbalanced="0"/>
    <cacheHierarchy uniqueName="[Main_Table].[Tax (14%)]" caption="Tax (14%)" attribute="1" defaultMemberUniqueName="[Main_Table].[Tax (14%)].[All]" allUniqueName="[Main_Table].[Tax (14%)].[All]" dimensionUniqueName="[Main_Table]" displayFolder="" count="0" memberValueDatatype="5" unbalanced="0"/>
    <cacheHierarchy uniqueName="[Main_Table].[Net]" caption="Net" attribute="1" defaultMemberUniqueName="[Main_Table].[Net].[All]" allUniqueName="[Main_Table].[Net].[All]" dimensionUniqueName="[Main_Table]" displayFolder="" count="0" memberValueDatatype="20" unbalanced="0"/>
    <cacheHierarchy uniqueName="[Main_Table].[Region]" caption="Region" attribute="1" defaultMemberUniqueName="[Main_Table].[Region].[All]" allUniqueName="[Main_Table].[Region].[All]" dimensionUniqueName="[Main_Table]" displayFolder="" count="2" memberValueDatatype="130" unbalanced="0">
      <fieldsUsage count="2">
        <fieldUsage x="-1"/>
        <fieldUsage x="2"/>
      </fieldsUsage>
    </cacheHierarchy>
    <cacheHierarchy uniqueName="[Main_Table].[Date]" caption="Date" attribute="1" time="1" defaultMemberUniqueName="[Main_Table].[Date].[All]" allUniqueName="[Main_Table].[Date].[All]" dimensionUniqueName="[Main_Table]" displayFolder="" count="0" memberValueDatatype="7" unbalanced="0"/>
    <cacheHierarchy uniqueName="[Main_Table].[Representative]" caption="Representative" attribute="1" defaultMemberUniqueName="[Main_Table].[Representative].[All]" allUniqueName="[Main_Table].[Representative].[All]" dimensionUniqueName="[Main_Table]" displayFolder="" count="0" memberValueDatatype="130" unbalanced="0"/>
    <cacheHierarchy uniqueName="[Main_Table].[Date (Month)]" caption="Date (Month)" attribute="1" defaultMemberUniqueName="[Main_Table].[Date (Month)].[All]" allUniqueName="[Main_Table].[Date (Month)].[All]" dimensionUniqueName="[Main_Table]" displayFolder="" count="2" memberValueDatatype="130" unbalanced="0"/>
    <cacheHierarchy uniqueName="[Main_Table].[Date (Quarter)]" caption="Date (Quarter)" attribute="1" defaultMemberUniqueName="[Main_Table].[Date (Quarter)].[All]" allUniqueName="[Main_Table].[Date (Quarter)].[All]" dimensionUniqueName="[Main_Table]" displayFolder="" count="0" memberValueDatatype="130" unbalanced="0"/>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XL_Count Customer_Types_Table]" caption="__XL_Count Customer_Types_Table" measure="1" displayFolder="" measureGroup="Customer_Types_Table" count="0" hidden="1"/>
    <cacheHierarchy uniqueName="[Measures].[__No measures defined]" caption="__No measures defined" measure="1" displayFolder="" count="0" hidden="1"/>
    <cacheHierarchy uniqueName="[Measures].[Sum of Net]" caption="Sum of Net" measure="1" displayFolder="" measureGroup="Main_Table"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3">
    <dimension name="Customer_Types_Table" uniqueName="[Customer_Types_Table]" caption="Customer_Types_Table"/>
    <dimension name="Main_Table" uniqueName="[Main_Table]" caption="Main_Table"/>
    <dimension measure="1" name="Measures" uniqueName="[Measures]" caption="Measures"/>
  </dimensions>
  <measureGroups count="2">
    <measureGroup name="Customer_Types_Table" caption="Customer_Types_Table"/>
    <measureGroup name="Main_Table" caption="Main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20.750375462965" backgroundQuery="1" createdVersion="8" refreshedVersion="8" minRefreshableVersion="3" recordCount="0" supportSubquery="1" supportAdvancedDrill="1" xr:uid="{E5D64337-1A6E-4E09-AFFC-DF9940496193}">
  <cacheSource type="external" connectionId="1"/>
  <cacheFields count="3">
    <cacheField name="[Measures].[Sum of Net]" caption="Sum of Net" numFmtId="0" hierarchy="19" level="32767"/>
    <cacheField name="[Main_Table].[Representative].[Representative]" caption="Representative" numFmtId="0" hierarchy="12" level="1">
      <sharedItems count="4">
        <s v="Ahmed"/>
        <s v="Karim"/>
        <s v="Nour"/>
        <s v="Wael"/>
      </sharedItems>
    </cacheField>
    <cacheField name="[Main_Table].[Region].[Region]" caption="Region" numFmtId="0" hierarchy="10" level="1">
      <sharedItems containsSemiMixedTypes="0" containsNonDate="0" containsString="0"/>
    </cacheField>
  </cacheFields>
  <cacheHierarchies count="20">
    <cacheHierarchy uniqueName="[Customer_Types_Table].[Customer Name]" caption="Customer Name" attribute="1" defaultMemberUniqueName="[Customer_Types_Table].[Customer Name].[All]" allUniqueName="[Customer_Types_Table].[Customer Name].[All]" dimensionUniqueName="[Customer_Types_Table]" displayFolder="" count="0" memberValueDatatype="130" unbalanced="0"/>
    <cacheHierarchy uniqueName="[Customer_Types_Table].[Net]" caption="Net" attribute="1" defaultMemberUniqueName="[Customer_Types_Table].[Net].[All]" allUniqueName="[Customer_Types_Table].[Net].[All]" dimensionUniqueName="[Customer_Types_Table]" displayFolder="" count="0" memberValueDatatype="20" unbalanced="0"/>
    <cacheHierarchy uniqueName="[Customer_Types_Table].[Region]" caption="Region" attribute="1" defaultMemberUniqueName="[Customer_Types_Table].[Region].[All]" allUniqueName="[Customer_Types_Table].[Region].[All]" dimensionUniqueName="[Customer_Types_Table]" displayFolder="" count="0" memberValueDatatype="130" unbalanced="0"/>
    <cacheHierarchy uniqueName="[Customer_Types_Table].[Customer Type]" caption="Customer Type" attribute="1" defaultMemberUniqueName="[Customer_Types_Table].[Customer Type].[All]" allUniqueName="[Customer_Types_Table].[Customer Type].[All]" dimensionUniqueName="[Customer_Types_Table]" displayFolder="" count="2" memberValueDatatype="130" unbalanced="0"/>
    <cacheHierarchy uniqueName="[Customer_Types_Table].[Sales percentage]" caption="Sales percentage" attribute="1" defaultMemberUniqueName="[Customer_Types_Table].[Sales percentage].[All]" allUniqueName="[Customer_Types_Table].[Sales percentage].[All]" dimensionUniqueName="[Customer_Types_Table]" displayFolder="" count="0" memberValueDatatype="5" unbalanced="0"/>
    <cacheHierarchy uniqueName="[Main_Table].[Customer Name]" caption="Customer Name" attribute="1" defaultMemberUniqueName="[Main_Table].[Customer Name].[All]" allUniqueName="[Main_Table].[Customer Name].[All]" dimensionUniqueName="[Main_Table]" displayFolder="" count="2" memberValueDatatype="130" unbalanced="0"/>
    <cacheHierarchy uniqueName="[Main_Table].[Transaction]" caption="Transaction" attribute="1" defaultMemberUniqueName="[Main_Table].[Transaction].[All]" allUniqueName="[Main_Table].[Transaction].[All]" dimensionUniqueName="[Main_Table]" displayFolder="" count="0" memberValueDatatype="130" unbalanced="0"/>
    <cacheHierarchy uniqueName="[Main_Table].[Amount]" caption="Amount" attribute="1" defaultMemberUniqueName="[Main_Table].[Amount].[All]" allUniqueName="[Main_Table].[Amount].[All]" dimensionUniqueName="[Main_Table]" displayFolder="" count="0" memberValueDatatype="20" unbalanced="0"/>
    <cacheHierarchy uniqueName="[Main_Table].[Tax (14%)]" caption="Tax (14%)" attribute="1" defaultMemberUniqueName="[Main_Table].[Tax (14%)].[All]" allUniqueName="[Main_Table].[Tax (14%)].[All]" dimensionUniqueName="[Main_Table]" displayFolder="" count="0" memberValueDatatype="5" unbalanced="0"/>
    <cacheHierarchy uniqueName="[Main_Table].[Net]" caption="Net" attribute="1" defaultMemberUniqueName="[Main_Table].[Net].[All]" allUniqueName="[Main_Table].[Net].[All]" dimensionUniqueName="[Main_Table]" displayFolder="" count="0" memberValueDatatype="20" unbalanced="0"/>
    <cacheHierarchy uniqueName="[Main_Table].[Region]" caption="Region" attribute="1" defaultMemberUniqueName="[Main_Table].[Region].[All]" allUniqueName="[Main_Table].[Region].[All]" dimensionUniqueName="[Main_Table]" displayFolder="" count="2" memberValueDatatype="130" unbalanced="0">
      <fieldsUsage count="2">
        <fieldUsage x="-1"/>
        <fieldUsage x="2"/>
      </fieldsUsage>
    </cacheHierarchy>
    <cacheHierarchy uniqueName="[Main_Table].[Date]" caption="Date" attribute="1" time="1" defaultMemberUniqueName="[Main_Table].[Date].[All]" allUniqueName="[Main_Table].[Date].[All]" dimensionUniqueName="[Main_Table]" displayFolder="" count="0" memberValueDatatype="7" unbalanced="0"/>
    <cacheHierarchy uniqueName="[Main_Table].[Representative]" caption="Representative" attribute="1" defaultMemberUniqueName="[Main_Table].[Representative].[All]" allUniqueName="[Main_Table].[Representative].[All]" dimensionUniqueName="[Main_Table]" displayFolder="" count="2" memberValueDatatype="130" unbalanced="0">
      <fieldsUsage count="2">
        <fieldUsage x="-1"/>
        <fieldUsage x="1"/>
      </fieldsUsage>
    </cacheHierarchy>
    <cacheHierarchy uniqueName="[Main_Table].[Date (Month)]" caption="Date (Month)" attribute="1" defaultMemberUniqueName="[Main_Table].[Date (Month)].[All]" allUniqueName="[Main_Table].[Date (Month)].[All]" dimensionUniqueName="[Main_Table]" displayFolder="" count="2" memberValueDatatype="130" unbalanced="0"/>
    <cacheHierarchy uniqueName="[Main_Table].[Date (Quarter)]" caption="Date (Quarter)" attribute="1" defaultMemberUniqueName="[Main_Table].[Date (Quarter)].[All]" allUniqueName="[Main_Table].[Date (Quarter)].[All]" dimensionUniqueName="[Main_Table]" displayFolder="" count="0" memberValueDatatype="130" unbalanced="0"/>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XL_Count Customer_Types_Table]" caption="__XL_Count Customer_Types_Table" measure="1" displayFolder="" measureGroup="Customer_Types_Table" count="0" hidden="1"/>
    <cacheHierarchy uniqueName="[Measures].[__No measures defined]" caption="__No measures defined" measure="1" displayFolder="" count="0" hidden="1"/>
    <cacheHierarchy uniqueName="[Measures].[Sum of Net]" caption="Sum of Net" measure="1" displayFolder="" measureGroup="Main_Table"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3">
    <dimension name="Customer_Types_Table" uniqueName="[Customer_Types_Table]" caption="Customer_Types_Table"/>
    <dimension name="Main_Table" uniqueName="[Main_Table]" caption="Main_Table"/>
    <dimension measure="1" name="Measures" uniqueName="[Measures]" caption="Measures"/>
  </dimensions>
  <measureGroups count="2">
    <measureGroup name="Customer_Types_Table" caption="Customer_Types_Table"/>
    <measureGroup name="Main_Table" caption="Main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20.750375810188" backgroundQuery="1" createdVersion="8" refreshedVersion="8" minRefreshableVersion="3" recordCount="0" supportSubquery="1" supportAdvancedDrill="1" xr:uid="{974516FC-4F06-4CC3-8E86-E42C2E97FDAF}">
  <cacheSource type="external" connectionId="1"/>
  <cacheFields count="2">
    <cacheField name="[Measures].[Sum of Net]" caption="Sum of Net" numFmtId="0" hierarchy="19" level="32767"/>
    <cacheField name="[Main_Table].[Region].[Region]" caption="Region" numFmtId="0" hierarchy="10" level="1">
      <sharedItems count="7">
        <s v="Alexandria"/>
        <s v="Cairo"/>
        <s v="Giza"/>
        <s v="Luxor"/>
        <s v="Sohag"/>
        <s v="Tanta"/>
        <s v="Zagazig"/>
      </sharedItems>
    </cacheField>
  </cacheFields>
  <cacheHierarchies count="20">
    <cacheHierarchy uniqueName="[Customer_Types_Table].[Customer Name]" caption="Customer Name" attribute="1" defaultMemberUniqueName="[Customer_Types_Table].[Customer Name].[All]" allUniqueName="[Customer_Types_Table].[Customer Name].[All]" dimensionUniqueName="[Customer_Types_Table]" displayFolder="" count="0" memberValueDatatype="130" unbalanced="0"/>
    <cacheHierarchy uniqueName="[Customer_Types_Table].[Net]" caption="Net" attribute="1" defaultMemberUniqueName="[Customer_Types_Table].[Net].[All]" allUniqueName="[Customer_Types_Table].[Net].[All]" dimensionUniqueName="[Customer_Types_Table]" displayFolder="" count="0" memberValueDatatype="20" unbalanced="0"/>
    <cacheHierarchy uniqueName="[Customer_Types_Table].[Region]" caption="Region" attribute="1" defaultMemberUniqueName="[Customer_Types_Table].[Region].[All]" allUniqueName="[Customer_Types_Table].[Region].[All]" dimensionUniqueName="[Customer_Types_Table]" displayFolder="" count="0" memberValueDatatype="130" unbalanced="0"/>
    <cacheHierarchy uniqueName="[Customer_Types_Table].[Customer Type]" caption="Customer Type" attribute="1" defaultMemberUniqueName="[Customer_Types_Table].[Customer Type].[All]" allUniqueName="[Customer_Types_Table].[Customer Type].[All]" dimensionUniqueName="[Customer_Types_Table]" displayFolder="" count="2" memberValueDatatype="130" unbalanced="0"/>
    <cacheHierarchy uniqueName="[Customer_Types_Table].[Sales percentage]" caption="Sales percentage" attribute="1" defaultMemberUniqueName="[Customer_Types_Table].[Sales percentage].[All]" allUniqueName="[Customer_Types_Table].[Sales percentage].[All]" dimensionUniqueName="[Customer_Types_Table]" displayFolder="" count="0" memberValueDatatype="5" unbalanced="0"/>
    <cacheHierarchy uniqueName="[Main_Table].[Customer Name]" caption="Customer Name" attribute="1" defaultMemberUniqueName="[Main_Table].[Customer Name].[All]" allUniqueName="[Main_Table].[Customer Name].[All]" dimensionUniqueName="[Main_Table]" displayFolder="" count="2" memberValueDatatype="130" unbalanced="0"/>
    <cacheHierarchy uniqueName="[Main_Table].[Transaction]" caption="Transaction" attribute="1" defaultMemberUniqueName="[Main_Table].[Transaction].[All]" allUniqueName="[Main_Table].[Transaction].[All]" dimensionUniqueName="[Main_Table]" displayFolder="" count="0" memberValueDatatype="130" unbalanced="0"/>
    <cacheHierarchy uniqueName="[Main_Table].[Amount]" caption="Amount" attribute="1" defaultMemberUniqueName="[Main_Table].[Amount].[All]" allUniqueName="[Main_Table].[Amount].[All]" dimensionUniqueName="[Main_Table]" displayFolder="" count="0" memberValueDatatype="20" unbalanced="0"/>
    <cacheHierarchy uniqueName="[Main_Table].[Tax (14%)]" caption="Tax (14%)" attribute="1" defaultMemberUniqueName="[Main_Table].[Tax (14%)].[All]" allUniqueName="[Main_Table].[Tax (14%)].[All]" dimensionUniqueName="[Main_Table]" displayFolder="" count="0" memberValueDatatype="5" unbalanced="0"/>
    <cacheHierarchy uniqueName="[Main_Table].[Net]" caption="Net" attribute="1" defaultMemberUniqueName="[Main_Table].[Net].[All]" allUniqueName="[Main_Table].[Net].[All]" dimensionUniqueName="[Main_Table]" displayFolder="" count="0" memberValueDatatype="20" unbalanced="0"/>
    <cacheHierarchy uniqueName="[Main_Table].[Region]" caption="Region" attribute="1" defaultMemberUniqueName="[Main_Table].[Region].[All]" allUniqueName="[Main_Table].[Region].[All]" dimensionUniqueName="[Main_Table]" displayFolder="" count="2" memberValueDatatype="130" unbalanced="0">
      <fieldsUsage count="2">
        <fieldUsage x="-1"/>
        <fieldUsage x="1"/>
      </fieldsUsage>
    </cacheHierarchy>
    <cacheHierarchy uniqueName="[Main_Table].[Date]" caption="Date" attribute="1" time="1" defaultMemberUniqueName="[Main_Table].[Date].[All]" allUniqueName="[Main_Table].[Date].[All]" dimensionUniqueName="[Main_Table]" displayFolder="" count="0" memberValueDatatype="7" unbalanced="0"/>
    <cacheHierarchy uniqueName="[Main_Table].[Representative]" caption="Representative" attribute="1" defaultMemberUniqueName="[Main_Table].[Representative].[All]" allUniqueName="[Main_Table].[Representative].[All]" dimensionUniqueName="[Main_Table]" displayFolder="" count="0" memberValueDatatype="130" unbalanced="0"/>
    <cacheHierarchy uniqueName="[Main_Table].[Date (Month)]" caption="Date (Month)" attribute="1" defaultMemberUniqueName="[Main_Table].[Date (Month)].[All]" allUniqueName="[Main_Table].[Date (Month)].[All]" dimensionUniqueName="[Main_Table]" displayFolder="" count="2" memberValueDatatype="130" unbalanced="0"/>
    <cacheHierarchy uniqueName="[Main_Table].[Date (Quarter)]" caption="Date (Quarter)" attribute="1" defaultMemberUniqueName="[Main_Table].[Date (Quarter)].[All]" allUniqueName="[Main_Table].[Date (Quarter)].[All]" dimensionUniqueName="[Main_Table]" displayFolder="" count="0" memberValueDatatype="130" unbalanced="0"/>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XL_Count Customer_Types_Table]" caption="__XL_Count Customer_Types_Table" measure="1" displayFolder="" measureGroup="Customer_Types_Table" count="0" hidden="1"/>
    <cacheHierarchy uniqueName="[Measures].[__No measures defined]" caption="__No measures defined" measure="1" displayFolder="" count="0" hidden="1"/>
    <cacheHierarchy uniqueName="[Measures].[Sum of Net]" caption="Sum of Net" measure="1" displayFolder="" measureGroup="Main_Table"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3">
    <dimension name="Customer_Types_Table" uniqueName="[Customer_Types_Table]" caption="Customer_Types_Table"/>
    <dimension name="Main_Table" uniqueName="[Main_Table]" caption="Main_Table"/>
    <dimension measure="1" name="Measures" uniqueName="[Measures]" caption="Measures"/>
  </dimensions>
  <measureGroups count="2">
    <measureGroup name="Customer_Types_Table" caption="Customer_Types_Table"/>
    <measureGroup name="Main_Table" caption="Main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yman" refreshedDate="46120.729027314817" backgroundQuery="1" createdVersion="3" refreshedVersion="8" minRefreshableVersion="3" recordCount="0" supportSubquery="1" supportAdvancedDrill="1" xr:uid="{195EF8EB-C636-44EC-8E10-59477CBD8043}">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Customer_Types_Table].[Customer Name]" caption="Customer Name" attribute="1" defaultMemberUniqueName="[Customer_Types_Table].[Customer Name].[All]" allUniqueName="[Customer_Types_Table].[Customer Name].[All]" dimensionUniqueName="[Customer_Types_Table]" displayFolder="" count="0" memberValueDatatype="130" unbalanced="0"/>
    <cacheHierarchy uniqueName="[Customer_Types_Table].[Net]" caption="Net" attribute="1" defaultMemberUniqueName="[Customer_Types_Table].[Net].[All]" allUniqueName="[Customer_Types_Table].[Net].[All]" dimensionUniqueName="[Customer_Types_Table]" displayFolder="" count="0" memberValueDatatype="20" unbalanced="0"/>
    <cacheHierarchy uniqueName="[Customer_Types_Table].[Region]" caption="Region" attribute="1" defaultMemberUniqueName="[Customer_Types_Table].[Region].[All]" allUniqueName="[Customer_Types_Table].[Region].[All]" dimensionUniqueName="[Customer_Types_Table]" displayFolder="" count="0" memberValueDatatype="130" unbalanced="0"/>
    <cacheHierarchy uniqueName="[Customer_Types_Table].[Customer Type]" caption="Customer Type" attribute="1" defaultMemberUniqueName="[Customer_Types_Table].[Customer Type].[All]" allUniqueName="[Customer_Types_Table].[Customer Type].[All]" dimensionUniqueName="[Customer_Types_Table]" displayFolder="" count="2" memberValueDatatype="130" unbalanced="0"/>
    <cacheHierarchy uniqueName="[Customer_Types_Table].[Sales percentage]" caption="Sales percentage" attribute="1" defaultMemberUniqueName="[Customer_Types_Table].[Sales percentage].[All]" allUniqueName="[Customer_Types_Table].[Sales percentage].[All]" dimensionUniqueName="[Customer_Types_Table]" displayFolder="" count="0" memberValueDatatype="5" unbalanced="0"/>
    <cacheHierarchy uniqueName="[Main_Table].[Customer Name]" caption="Customer Name" attribute="1" defaultMemberUniqueName="[Main_Table].[Customer Name].[All]" allUniqueName="[Main_Table].[Customer Name].[All]" dimensionUniqueName="[Main_Table]" displayFolder="" count="2" memberValueDatatype="130" unbalanced="0"/>
    <cacheHierarchy uniqueName="[Main_Table].[Transaction]" caption="Transaction" attribute="1" defaultMemberUniqueName="[Main_Table].[Transaction].[All]" allUniqueName="[Main_Table].[Transaction].[All]" dimensionUniqueName="[Main_Table]" displayFolder="" count="0" memberValueDatatype="130" unbalanced="0"/>
    <cacheHierarchy uniqueName="[Main_Table].[Amount]" caption="Amount" attribute="1" defaultMemberUniqueName="[Main_Table].[Amount].[All]" allUniqueName="[Main_Table].[Amount].[All]" dimensionUniqueName="[Main_Table]" displayFolder="" count="0" memberValueDatatype="20" unbalanced="0"/>
    <cacheHierarchy uniqueName="[Main_Table].[Tax (14%)]" caption="Tax (14%)" attribute="1" defaultMemberUniqueName="[Main_Table].[Tax (14%)].[All]" allUniqueName="[Main_Table].[Tax (14%)].[All]" dimensionUniqueName="[Main_Table]" displayFolder="" count="0" memberValueDatatype="5" unbalanced="0"/>
    <cacheHierarchy uniqueName="[Main_Table].[Net]" caption="Net" attribute="1" defaultMemberUniqueName="[Main_Table].[Net].[All]" allUniqueName="[Main_Table].[Net].[All]" dimensionUniqueName="[Main_Table]" displayFolder="" count="0" memberValueDatatype="20" unbalanced="0"/>
    <cacheHierarchy uniqueName="[Main_Table].[Region]" caption="Region" attribute="1" defaultMemberUniqueName="[Main_Table].[Region].[All]" allUniqueName="[Main_Table].[Region].[All]" dimensionUniqueName="[Main_Table]" displayFolder="" count="2" memberValueDatatype="130" unbalanced="0"/>
    <cacheHierarchy uniqueName="[Main_Table].[Date]" caption="Date" attribute="1" time="1" defaultMemberUniqueName="[Main_Table].[Date].[All]" allUniqueName="[Main_Table].[Date].[All]" dimensionUniqueName="[Main_Table]" displayFolder="" count="0" memberValueDatatype="7" unbalanced="0"/>
    <cacheHierarchy uniqueName="[Main_Table].[Representative]" caption="Representative" attribute="1" defaultMemberUniqueName="[Main_Table].[Representative].[All]" allUniqueName="[Main_Table].[Representative].[All]" dimensionUniqueName="[Main_Table]" displayFolder="" count="0" memberValueDatatype="130" unbalanced="0"/>
    <cacheHierarchy uniqueName="[Main_Table].[Date (Month)]" caption="Date (Month)" attribute="1" defaultMemberUniqueName="[Main_Table].[Date (Month)].[All]" allUniqueName="[Main_Table].[Date (Month)].[All]" dimensionUniqueName="[Main_Table]" displayFolder="" count="2" memberValueDatatype="130" unbalanced="0"/>
    <cacheHierarchy uniqueName="[Main_Table].[Date (Quarter)]" caption="Date (Quarter)" attribute="1" defaultMemberUniqueName="[Main_Table].[Date (Quarter)].[All]" allUniqueName="[Main_Table].[Date (Quarter)].[All]" dimensionUniqueName="[Main_Table]" displayFolder="" count="0" memberValueDatatype="130" unbalanced="0"/>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XL_Count Customer_Types_Table]" caption="__XL_Count Customer_Types_Table" measure="1" displayFolder="" measureGroup="Customer_Types_Table" count="0" hidden="1"/>
    <cacheHierarchy uniqueName="[Measures].[__No measures defined]" caption="__No measures defined" measure="1" displayFolder="" count="0" hidden="1"/>
    <cacheHierarchy uniqueName="[Measures].[Sum of Net]" caption="Sum of Net" measure="1" displayFolder="" measureGroup="Main_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4168330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2DCA7E-1D67-4B1B-ABD3-BD4ED891F9FF}" name="Sales Trends"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6:B23" firstHeaderRow="1" firstDataRow="1" firstDataCol="1"/>
  <pivotFields count="5">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3">
    <field x="3"/>
    <field x="0"/>
    <field x="2"/>
  </rowFields>
  <rowItems count="17">
    <i>
      <x/>
    </i>
    <i r="1">
      <x/>
    </i>
    <i r="1">
      <x v="1"/>
    </i>
    <i r="1">
      <x v="2"/>
    </i>
    <i>
      <x v="1"/>
    </i>
    <i r="1">
      <x v="3"/>
    </i>
    <i r="1">
      <x v="4"/>
    </i>
    <i r="1">
      <x v="5"/>
    </i>
    <i>
      <x v="2"/>
    </i>
    <i r="1">
      <x v="6"/>
    </i>
    <i r="1">
      <x v="7"/>
    </i>
    <i r="1">
      <x v="8"/>
    </i>
    <i>
      <x v="3"/>
    </i>
    <i r="1">
      <x v="9"/>
    </i>
    <i r="1">
      <x v="10"/>
    </i>
    <i r="1">
      <x v="11"/>
    </i>
    <i t="grand">
      <x/>
    </i>
  </rowItems>
  <colItems count="1">
    <i/>
  </colItems>
  <dataFields count="1">
    <dataField name="Sum of Net" fld="1" baseField="0" baseItem="0"/>
  </dataFields>
  <chartFormats count="2">
    <chartFormat chart="6"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3">
    <rowHierarchyUsage hierarchyUsage="14"/>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Analytics Interactive Dashboard.xlsx!Main_Table">
        <x15:activeTabTopLevelEntity name="[Mai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FBFDA7-7862-4512-AC5A-C9B9AC6B34D9}" name="Sales by Representativ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6:B1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Net" fld="0" baseField="0" baseItem="0"/>
  </dataFields>
  <chartFormats count="2">
    <chartFormat chart="8"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Analytics Interactive Dashboard.xlsx!Main_Table">
        <x15:activeTabTopLevelEntity name="[Mai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2CAD55-B36B-4A9E-B847-2130FDACC6A0}" name="Sales by Region"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6:B14"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Net" fld="0" baseField="0" baseItem="0"/>
  </dataFields>
  <chartFormats count="16">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 count="1" selected="0">
            <x v="0"/>
          </reference>
        </references>
      </pivotArea>
    </chartFormat>
    <chartFormat chart="16" format="3">
      <pivotArea type="data" outline="0" fieldPosition="0">
        <references count="2">
          <reference field="4294967294" count="1" selected="0">
            <x v="0"/>
          </reference>
          <reference field="1" count="1" selected="0">
            <x v="1"/>
          </reference>
        </references>
      </pivotArea>
    </chartFormat>
    <chartFormat chart="16" format="4">
      <pivotArea type="data" outline="0" fieldPosition="0">
        <references count="2">
          <reference field="4294967294" count="1" selected="0">
            <x v="0"/>
          </reference>
          <reference field="1" count="1" selected="0">
            <x v="2"/>
          </reference>
        </references>
      </pivotArea>
    </chartFormat>
    <chartFormat chart="16" format="5">
      <pivotArea type="data" outline="0" fieldPosition="0">
        <references count="2">
          <reference field="4294967294" count="1" selected="0">
            <x v="0"/>
          </reference>
          <reference field="1" count="1" selected="0">
            <x v="3"/>
          </reference>
        </references>
      </pivotArea>
    </chartFormat>
    <chartFormat chart="16" format="6">
      <pivotArea type="data" outline="0" fieldPosition="0">
        <references count="2">
          <reference field="4294967294" count="1" selected="0">
            <x v="0"/>
          </reference>
          <reference field="1" count="1" selected="0">
            <x v="4"/>
          </reference>
        </references>
      </pivotArea>
    </chartFormat>
    <chartFormat chart="16" format="7">
      <pivotArea type="data" outline="0" fieldPosition="0">
        <references count="2">
          <reference field="4294967294" count="1" selected="0">
            <x v="0"/>
          </reference>
          <reference field="1" count="1" selected="0">
            <x v="5"/>
          </reference>
        </references>
      </pivotArea>
    </chartFormat>
    <chartFormat chart="16" format="8">
      <pivotArea type="data" outline="0" fieldPosition="0">
        <references count="2">
          <reference field="4294967294" count="1" selected="0">
            <x v="0"/>
          </reference>
          <reference field="1" count="1" selected="0">
            <x v="6"/>
          </reference>
        </references>
      </pivotArea>
    </chartFormat>
    <chartFormat chart="22" format="17" series="1">
      <pivotArea type="data" outline="0" fieldPosition="0">
        <references count="1">
          <reference field="4294967294" count="1" selected="0">
            <x v="0"/>
          </reference>
        </references>
      </pivotArea>
    </chartFormat>
    <chartFormat chart="22" format="18">
      <pivotArea type="data" outline="0" fieldPosition="0">
        <references count="2">
          <reference field="4294967294" count="1" selected="0">
            <x v="0"/>
          </reference>
          <reference field="1" count="1" selected="0">
            <x v="0"/>
          </reference>
        </references>
      </pivotArea>
    </chartFormat>
    <chartFormat chart="22" format="19">
      <pivotArea type="data" outline="0" fieldPosition="0">
        <references count="2">
          <reference field="4294967294" count="1" selected="0">
            <x v="0"/>
          </reference>
          <reference field="1" count="1" selected="0">
            <x v="1"/>
          </reference>
        </references>
      </pivotArea>
    </chartFormat>
    <chartFormat chart="22" format="20">
      <pivotArea type="data" outline="0" fieldPosition="0">
        <references count="2">
          <reference field="4294967294" count="1" selected="0">
            <x v="0"/>
          </reference>
          <reference field="1" count="1" selected="0">
            <x v="2"/>
          </reference>
        </references>
      </pivotArea>
    </chartFormat>
    <chartFormat chart="22" format="21">
      <pivotArea type="data" outline="0" fieldPosition="0">
        <references count="2">
          <reference field="4294967294" count="1" selected="0">
            <x v="0"/>
          </reference>
          <reference field="1" count="1" selected="0">
            <x v="3"/>
          </reference>
        </references>
      </pivotArea>
    </chartFormat>
    <chartFormat chart="22" format="22">
      <pivotArea type="data" outline="0" fieldPosition="0">
        <references count="2">
          <reference field="4294967294" count="1" selected="0">
            <x v="0"/>
          </reference>
          <reference field="1" count="1" selected="0">
            <x v="4"/>
          </reference>
        </references>
      </pivotArea>
    </chartFormat>
    <chartFormat chart="22" format="23">
      <pivotArea type="data" outline="0" fieldPosition="0">
        <references count="2">
          <reference field="4294967294" count="1" selected="0">
            <x v="0"/>
          </reference>
          <reference field="1" count="1" selected="0">
            <x v="5"/>
          </reference>
        </references>
      </pivotArea>
    </chartFormat>
    <chartFormat chart="22" format="24">
      <pivotArea type="data" outline="0" fieldPosition="0">
        <references count="2">
          <reference field="4294967294" count="1" selected="0">
            <x v="0"/>
          </reference>
          <reference field="1" count="1" selected="0">
            <x v="6"/>
          </reference>
        </references>
      </pivotArea>
    </chartFormat>
  </chartFormats>
  <pivotHierarchies count="2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Analytics Interactive Dashboard.xlsx!Main_Table">
        <x15:activeTabTopLevelEntity name="[Mai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8F2914-9849-4E5E-A450-7367258C7A9E}" name="Sales by Customer Type (Customer Type)"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8:C35" firstHeaderRow="1" firstDataRow="1" firstDataCol="0"/>
  <pivotFields count="1">
    <pivotField allDrilled="1" subtotalTop="0" showAll="0" dataSourceSort="1" defaultSubtotal="0" defaultAttributeDrillState="1"/>
  </pivotFields>
  <pivotHierarchies count="2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Analytics Interactive Dashboard.xlsx!Customer_Types_Table">
        <x15:activeTabTopLevelEntity name="[Customer_Typ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6148EF-0A18-4796-B996-189EB82646B8}" name="Sales by Customer Type (Main)"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6:B1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Net" fld="0" baseField="0" baseItem="0"/>
  </dataField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Table]"/>
        <x15:activeTabTopLevelEntity name="[Customer_Typ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97DAC5-2709-46E4-AFA3-244C3F2413BD}" name="Sales by Customer"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5:B16"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Net" fld="1" baseField="0" baseItem="0"/>
  </dataFields>
  <chartFormats count="2">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Analytics Interactive Dashboard.xlsx!Main_Table">
        <x15:activeTabTopLevelEntity name="[Main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F40F818F-D6F4-4D84-ADE9-4B092C13A126}" sourceName="[Main_Table].[Customer Name]">
  <pivotTables>
    <pivotTable tabId="5" name="Sales Trends"/>
    <pivotTable tabId="2" name="Sales by Customer"/>
    <pivotTable tabId="4" name="Sales by Customer Type (Customer Type)"/>
    <pivotTable tabId="4" name="Sales by Customer Type (Main)"/>
    <pivotTable tabId="7" name="Sales by Region"/>
    <pivotTable tabId="6" name="Sales by Representative"/>
  </pivotTables>
  <data>
    <olap pivotCacheId="1416833017">
      <levels count="2">
        <level uniqueName="[Main_Table].[Customer Name].[(All)]" sourceCaption="(All)" count="0"/>
        <level uniqueName="[Main_Table].[Customer Name].[Customer Name]" sourceCaption="Customer Name" count="10">
          <ranges>
            <range startItem="0">
              <i n="[Main_Table].[Customer Name].&amp;[Adel Emad]" c="Adel Emad"/>
              <i n="[Main_Table].[Customer Name].&amp;[Amira Naguib]" c="Amira Naguib"/>
              <i n="[Main_Table].[Customer Name].&amp;[Hany Kamel]" c="Hany Kamel"/>
              <i n="[Main_Table].[Customer Name].&amp;[Khaled Hassan]" c="Khaled Hassan"/>
              <i n="[Main_Table].[Customer Name].&amp;[Layla Soliman]" c="Layla Soliman"/>
              <i n="[Main_Table].[Customer Name].&amp;[Mahmoud Fawzy]" c="Mahmoud Fawzy"/>
              <i n="[Main_Table].[Customer Name].&amp;[Omar Zaki]" c="Omar Zaki"/>
              <i n="[Main_Table].[Customer Name].&amp;[Sameh Nabil]" c="Sameh Nabil"/>
              <i n="[Main_Table].[Customer Name].&amp;[Tarek Ibrahim]" c="Tarek Ibrahim"/>
              <i n="[Main_Table].[Customer Name].&amp;[Youssef Ali]" c="Youssef Ali"/>
            </range>
          </ranges>
        </level>
      </levels>
      <selections count="1">
        <selection n="[Main_Table].[Customer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33C95F-04D1-4A55-BE02-8D798EB788BA}" sourceName="[Main_Table].[Region]">
  <pivotTables>
    <pivotTable tabId="5" name="Sales Trends"/>
    <pivotTable tabId="2" name="Sales by Customer"/>
    <pivotTable tabId="4" name="Sales by Customer Type (Customer Type)"/>
    <pivotTable tabId="4" name="Sales by Customer Type (Main)"/>
    <pivotTable tabId="6" name="Sales by Representative"/>
    <pivotTable tabId="7" name="Sales by Region"/>
  </pivotTables>
  <data>
    <olap pivotCacheId="1416833017">
      <levels count="2">
        <level uniqueName="[Main_Table].[Region].[(All)]" sourceCaption="(All)" count="0"/>
        <level uniqueName="[Main_Table].[Region].[Region]" sourceCaption="Region" count="7">
          <ranges>
            <range startItem="0">
              <i n="[Main_Table].[Region].&amp;[Alexandria]" c="Alexandria"/>
              <i n="[Main_Table].[Region].&amp;[Cairo]" c="Cairo"/>
              <i n="[Main_Table].[Region].&amp;[Giza]" c="Giza"/>
              <i n="[Main_Table].[Region].&amp;[Luxor]" c="Luxor"/>
              <i n="[Main_Table].[Region].&amp;[Sohag]" c="Sohag"/>
              <i n="[Main_Table].[Region].&amp;[Tanta]" c="Tanta"/>
              <i n="[Main_Table].[Region].&amp;[Zagazig]" c="Zagazig"/>
            </range>
          </ranges>
        </level>
      </levels>
      <selections count="1">
        <selection n="[Main_Tabl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4E11C9F-611C-4937-8DD4-400FB9D7C0CA}" sourceName="[Main_Table].[Date (Month)]">
  <pivotTables>
    <pivotTable tabId="5" name="Sales Trends"/>
    <pivotTable tabId="2" name="Sales by Customer"/>
    <pivotTable tabId="4" name="Sales by Customer Type (Customer Type)"/>
    <pivotTable tabId="4" name="Sales by Customer Type (Main)"/>
    <pivotTable tabId="7" name="Sales by Region"/>
    <pivotTable tabId="6" name="Sales by Representative"/>
  </pivotTables>
  <data>
    <olap pivotCacheId="1416833017">
      <levels count="2">
        <level uniqueName="[Main_Table].[Date (Month)].[(All)]" sourceCaption="(All)" count="0"/>
        <level uniqueName="[Main_Table].[Date (Month)].[Date (Month)]" sourceCaption="Date (Month)" count="12">
          <ranges>
            <range startItem="0">
              <i n="[Main_Table].[Date (Month)].&amp;[Jan]" c="Jan"/>
              <i n="[Main_Table].[Date (Month)].&amp;[Feb]" c="Feb"/>
              <i n="[Main_Table].[Date (Month)].&amp;[Mar]" c="Mar"/>
              <i n="[Main_Table].[Date (Month)].&amp;[Apr]" c="Apr"/>
              <i n="[Main_Table].[Date (Month)].&amp;[May]" c="May"/>
              <i n="[Main_Table].[Date (Month)].&amp;[Jun]" c="Jun"/>
              <i n="[Main_Table].[Date (Month)].&amp;[Jul]" c="Jul"/>
              <i n="[Main_Table].[Date (Month)].&amp;[Aug]" c="Aug"/>
              <i n="[Main_Table].[Date (Month)].&amp;[Sep]" c="Sep"/>
              <i n="[Main_Table].[Date (Month)].&amp;[Oct]" c="Oct"/>
              <i n="[Main_Table].[Date (Month)].&amp;[Nov]" c="Nov"/>
              <i n="[Main_Table].[Date (Month)].&amp;[Dec]" c="Dec"/>
            </range>
          </ranges>
        </level>
      </levels>
      <selections count="1">
        <selection n="[Main_Tabl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87349FF2-837B-43DC-8B23-BEB80679C456}" cache="Slicer_Customer_Name" caption="Customer Name" level="1" rowHeight="247650"/>
  <slicer name="Region" xr10:uid="{EF2861A2-E1C4-4B6A-8098-3DE8807B1E22}" cache="Slicer_Region" caption="Region" level="1" rowHeight="247650"/>
  <slicer name="Date (Month)" xr10:uid="{2BD0982C-593D-4991-A39E-B5619B4920D5}" cache="Slicer_Date__Month" caption="Date (Month)" startItem="4"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82478A-C0E6-4822-944A-DED70E5F247E}" name="Database" displayName="Database" ref="D11:E21" totalsRowShown="0">
  <autoFilter ref="D11:E21" xr:uid="{6A82478A-C0E6-4822-944A-DED70E5F247E}"/>
  <tableColumns count="2">
    <tableColumn id="1" xr3:uid="{30788DF2-4C68-4312-9FB2-C36F312C32BD}" name="Customer Name"/>
    <tableColumn id="2" xr3:uid="{044114EF-D115-451C-9515-E5249A5F103F}" name="Regio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51038E-B2F6-4943-8AEA-BFEF668CFFFD}" name="Main_Table" displayName="Main_Table" ref="B10:I28" totalsRowShown="0" headerRowDxfId="19" dataDxfId="18">
  <tableColumns count="8">
    <tableColumn id="1" xr3:uid="{BE06B4D3-7262-4676-BEA3-089F65676C1F}" name="Customer Name" dataDxfId="17"/>
    <tableColumn id="2" xr3:uid="{0B471023-0348-4B99-984A-573CA6B582D2}" name="Transaction" dataDxfId="16"/>
    <tableColumn id="3" xr3:uid="{55CDDF44-A706-4563-A259-B9B1234980A3}" name="Amount" dataDxfId="15"/>
    <tableColumn id="4" xr3:uid="{1B5341CB-8D85-40BB-9641-C1B6552184A4}" name="Tax (14%)" dataDxfId="14">
      <calculatedColumnFormula>Main_Table[[#This Row],[Amount]]*14%</calculatedColumnFormula>
    </tableColumn>
    <tableColumn id="12" xr3:uid="{F4C1540C-6BB1-4B74-90AD-2219191508B0}" name="Net" dataDxfId="13">
      <calculatedColumnFormula>Main_Table[[#This Row],[Amount]]-Main_Table[[#This Row],[Tax (14%)]]</calculatedColumnFormula>
    </tableColumn>
    <tableColumn id="5" xr3:uid="{27B1AC0C-0FFB-4DF1-8C42-BA189BB42309}" name="Region" dataDxfId="12"/>
    <tableColumn id="6" xr3:uid="{6E975604-CB4B-4951-A745-1AC4147E458A}" name="Date" dataDxfId="11"/>
    <tableColumn id="7" xr3:uid="{DA10C3F9-440C-4D72-8EE4-1DC1E8FC1C25}" name="Representative"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3E3970-C4C5-4112-8F7B-F18D3CBFC508}" name="Customer_Types_Table" displayName="Customer_Types_Table" ref="K10:O20" totalsRowShown="0" headerRowDxfId="9" dataDxfId="8">
  <autoFilter ref="K10:O20" xr:uid="{2A3E3970-C4C5-4112-8F7B-F18D3CBFC508}"/>
  <tableColumns count="5">
    <tableColumn id="1" xr3:uid="{ED49C003-4F80-4A56-9D76-1E1CF0119452}" name="Customer Name" dataDxfId="7"/>
    <tableColumn id="2" xr3:uid="{0CE4DAD1-FB4C-4CB8-BEB8-3E3089791823}" name="Net" dataDxfId="6">
      <calculatedColumnFormula>SUMIFS(Main_Table[Net],Main_Table[Customer Name],Customer_Types_Table[[#This Row],[Customer Name]])</calculatedColumnFormula>
    </tableColumn>
    <tableColumn id="3" xr3:uid="{95595F9D-108B-416F-9F5D-E549161E8E83}" name="Region" dataDxfId="5">
      <calculatedColumnFormula>VLOOKUP(Customer_Types_Table[[#This Row],[Customer Name]],Database[],2,FALSE)</calculatedColumnFormula>
    </tableColumn>
    <tableColumn id="4" xr3:uid="{54D3A3BB-B3DD-4BCF-A274-63613452F679}" name="Customer Type" dataDxfId="4">
      <calculatedColumnFormula array="1">_xlfn.IFS(Customer_Types_Table[[#This Row],[Net]]&gt;24000,"Important Customer",Customer_Types_Table[[#This Row],[Net]]&gt;15000,"Strong Customer", Customer_Types_Table[[#This Row],[Net]]&gt;8000,"Regular Customer",Customer_Types_Table[[#This Row],[Net]]&gt;3000,"Weak Customer",TRUE, "very weak")</calculatedColumnFormula>
    </tableColumn>
    <tableColumn id="5" xr3:uid="{041296CF-15EF-4D01-92C4-AD7F127CC815}" name="Sales percentage" dataDxfId="3">
      <calculatedColumnFormula>Customer_Types_Table[[#This Row],[Net]]/SUM(Customer_Types_Table[Net])</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BCDB5-75FF-4059-9AA2-C8025DBDBC48}">
  <dimension ref="D11:H21"/>
  <sheetViews>
    <sheetView workbookViewId="0">
      <selection activeCell="D11" sqref="D11:E21"/>
    </sheetView>
  </sheetViews>
  <sheetFormatPr defaultRowHeight="14.4" x14ac:dyDescent="0.3"/>
  <cols>
    <col min="3" max="3" width="14.33203125" bestFit="1" customWidth="1"/>
    <col min="4" max="4" width="16.77734375" bestFit="1" customWidth="1"/>
    <col min="5" max="5" width="9.44140625" bestFit="1" customWidth="1"/>
    <col min="8" max="8" width="16" customWidth="1"/>
    <col min="9" max="9" width="9.44140625" bestFit="1" customWidth="1"/>
  </cols>
  <sheetData>
    <row r="11" spans="4:5" x14ac:dyDescent="0.3">
      <c r="D11" t="s">
        <v>1</v>
      </c>
      <c r="E11" t="s">
        <v>6</v>
      </c>
    </row>
    <row r="12" spans="4:5" x14ac:dyDescent="0.3">
      <c r="D12" t="s">
        <v>8</v>
      </c>
      <c r="E12" t="s">
        <v>22</v>
      </c>
    </row>
    <row r="13" spans="4:5" x14ac:dyDescent="0.3">
      <c r="D13" t="s">
        <v>9</v>
      </c>
      <c r="E13" t="s">
        <v>23</v>
      </c>
    </row>
    <row r="14" spans="4:5" x14ac:dyDescent="0.3">
      <c r="D14" t="s">
        <v>10</v>
      </c>
      <c r="E14" t="s">
        <v>24</v>
      </c>
    </row>
    <row r="15" spans="4:5" x14ac:dyDescent="0.3">
      <c r="D15" t="s">
        <v>11</v>
      </c>
      <c r="E15" t="s">
        <v>25</v>
      </c>
    </row>
    <row r="16" spans="4:5" x14ac:dyDescent="0.3">
      <c r="D16" t="s">
        <v>12</v>
      </c>
      <c r="E16" t="s">
        <v>26</v>
      </c>
    </row>
    <row r="17" spans="4:8" x14ac:dyDescent="0.3">
      <c r="D17" t="s">
        <v>13</v>
      </c>
      <c r="E17" t="s">
        <v>27</v>
      </c>
    </row>
    <row r="18" spans="4:8" x14ac:dyDescent="0.3">
      <c r="D18" t="s">
        <v>14</v>
      </c>
      <c r="E18" t="s">
        <v>25</v>
      </c>
    </row>
    <row r="19" spans="4:8" x14ac:dyDescent="0.3">
      <c r="D19" t="s">
        <v>15</v>
      </c>
      <c r="E19" t="s">
        <v>23</v>
      </c>
    </row>
    <row r="20" spans="4:8" x14ac:dyDescent="0.3">
      <c r="D20" t="s">
        <v>16</v>
      </c>
      <c r="E20" t="s">
        <v>24</v>
      </c>
      <c r="H20" s="25"/>
    </row>
    <row r="21" spans="4:8" x14ac:dyDescent="0.3">
      <c r="D21" t="s">
        <v>17</v>
      </c>
      <c r="E21"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63F04-D53E-4675-A985-9FC6F31CB63B}">
  <dimension ref="A6:B23"/>
  <sheetViews>
    <sheetView workbookViewId="0">
      <selection activeCell="D7" sqref="D7"/>
    </sheetView>
  </sheetViews>
  <sheetFormatPr defaultRowHeight="14.4" x14ac:dyDescent="0.3"/>
  <cols>
    <col min="1" max="1" width="12.44140625" bestFit="1" customWidth="1"/>
    <col min="2" max="2" width="10" bestFit="1" customWidth="1"/>
    <col min="3" max="15" width="9.33203125" bestFit="1" customWidth="1"/>
    <col min="16" max="18" width="10.33203125" bestFit="1" customWidth="1"/>
    <col min="19" max="19" width="10.5546875" bestFit="1" customWidth="1"/>
  </cols>
  <sheetData>
    <row r="6" spans="1:2" x14ac:dyDescent="0.3">
      <c r="A6" s="22" t="s">
        <v>32</v>
      </c>
      <c r="B6" t="s">
        <v>35</v>
      </c>
    </row>
    <row r="7" spans="1:2" x14ac:dyDescent="0.3">
      <c r="A7" s="23" t="s">
        <v>48</v>
      </c>
    </row>
    <row r="8" spans="1:2" x14ac:dyDescent="0.3">
      <c r="A8" s="24" t="s">
        <v>36</v>
      </c>
      <c r="B8">
        <v>10320</v>
      </c>
    </row>
    <row r="9" spans="1:2" x14ac:dyDescent="0.3">
      <c r="A9" s="24" t="s">
        <v>37</v>
      </c>
      <c r="B9">
        <v>6880</v>
      </c>
    </row>
    <row r="10" spans="1:2" x14ac:dyDescent="0.3">
      <c r="A10" s="24" t="s">
        <v>38</v>
      </c>
      <c r="B10">
        <v>5160</v>
      </c>
    </row>
    <row r="11" spans="1:2" x14ac:dyDescent="0.3">
      <c r="A11" s="23" t="s">
        <v>49</v>
      </c>
    </row>
    <row r="12" spans="1:2" x14ac:dyDescent="0.3">
      <c r="A12" s="24" t="s">
        <v>39</v>
      </c>
      <c r="B12">
        <v>15480</v>
      </c>
    </row>
    <row r="13" spans="1:2" x14ac:dyDescent="0.3">
      <c r="A13" s="24" t="s">
        <v>40</v>
      </c>
      <c r="B13">
        <v>25370</v>
      </c>
    </row>
    <row r="14" spans="1:2" x14ac:dyDescent="0.3">
      <c r="A14" s="24" t="s">
        <v>41</v>
      </c>
      <c r="B14">
        <v>5848</v>
      </c>
    </row>
    <row r="15" spans="1:2" x14ac:dyDescent="0.3">
      <c r="A15" s="23" t="s">
        <v>50</v>
      </c>
    </row>
    <row r="16" spans="1:2" x14ac:dyDescent="0.3">
      <c r="A16" s="24" t="s">
        <v>42</v>
      </c>
      <c r="B16">
        <v>4300</v>
      </c>
    </row>
    <row r="17" spans="1:2" x14ac:dyDescent="0.3">
      <c r="A17" s="24" t="s">
        <v>43</v>
      </c>
      <c r="B17">
        <v>2580</v>
      </c>
    </row>
    <row r="18" spans="1:2" x14ac:dyDescent="0.3">
      <c r="A18" s="24" t="s">
        <v>44</v>
      </c>
      <c r="B18">
        <v>3870</v>
      </c>
    </row>
    <row r="19" spans="1:2" x14ac:dyDescent="0.3">
      <c r="A19" s="23" t="s">
        <v>51</v>
      </c>
    </row>
    <row r="20" spans="1:2" x14ac:dyDescent="0.3">
      <c r="A20" s="24" t="s">
        <v>45</v>
      </c>
      <c r="B20">
        <v>9460</v>
      </c>
    </row>
    <row r="21" spans="1:2" x14ac:dyDescent="0.3">
      <c r="A21" s="24" t="s">
        <v>46</v>
      </c>
      <c r="B21">
        <v>15050</v>
      </c>
    </row>
    <row r="22" spans="1:2" x14ac:dyDescent="0.3">
      <c r="A22" s="24" t="s">
        <v>47</v>
      </c>
      <c r="B22">
        <v>7740</v>
      </c>
    </row>
    <row r="23" spans="1:2" x14ac:dyDescent="0.3">
      <c r="A23" s="23" t="s">
        <v>33</v>
      </c>
      <c r="B23">
        <v>112058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4F6C2-5751-492E-92BA-3EC8A28133CC}">
  <dimension ref="A6:B11"/>
  <sheetViews>
    <sheetView workbookViewId="0">
      <selection activeCell="D6" sqref="D6"/>
    </sheetView>
  </sheetViews>
  <sheetFormatPr defaultRowHeight="14.4" x14ac:dyDescent="0.3"/>
  <cols>
    <col min="1" max="1" width="12.44140625" bestFit="1" customWidth="1"/>
    <col min="2" max="2" width="10" bestFit="1" customWidth="1"/>
  </cols>
  <sheetData>
    <row r="6" spans="1:2" x14ac:dyDescent="0.3">
      <c r="A6" s="22" t="s">
        <v>32</v>
      </c>
      <c r="B6" t="s">
        <v>35</v>
      </c>
    </row>
    <row r="7" spans="1:2" x14ac:dyDescent="0.3">
      <c r="A7" s="23" t="s">
        <v>18</v>
      </c>
      <c r="B7">
        <v>29068</v>
      </c>
    </row>
    <row r="8" spans="1:2" x14ac:dyDescent="0.3">
      <c r="A8" s="23" t="s">
        <v>19</v>
      </c>
      <c r="B8">
        <v>28552</v>
      </c>
    </row>
    <row r="9" spans="1:2" x14ac:dyDescent="0.3">
      <c r="A9" s="23" t="s">
        <v>21</v>
      </c>
      <c r="B9">
        <v>29928</v>
      </c>
    </row>
    <row r="10" spans="1:2" x14ac:dyDescent="0.3">
      <c r="A10" s="23" t="s">
        <v>20</v>
      </c>
      <c r="B10">
        <v>24510</v>
      </c>
    </row>
    <row r="11" spans="1:2" x14ac:dyDescent="0.3">
      <c r="A11" s="23" t="s">
        <v>33</v>
      </c>
      <c r="B11">
        <v>112058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A587-7336-4E70-9999-488EBED039B3}">
  <dimension ref="A6:B14"/>
  <sheetViews>
    <sheetView workbookViewId="0">
      <selection activeCell="Y36" sqref="Y36"/>
    </sheetView>
  </sheetViews>
  <sheetFormatPr defaultRowHeight="14.4" x14ac:dyDescent="0.3"/>
  <cols>
    <col min="1" max="1" width="12.44140625" bestFit="1" customWidth="1"/>
    <col min="2" max="2" width="10" bestFit="1" customWidth="1"/>
  </cols>
  <sheetData>
    <row r="6" spans="1:2" x14ac:dyDescent="0.3">
      <c r="A6" s="22" t="s">
        <v>32</v>
      </c>
      <c r="B6" t="s">
        <v>35</v>
      </c>
    </row>
    <row r="7" spans="1:2" x14ac:dyDescent="0.3">
      <c r="A7" s="23" t="s">
        <v>23</v>
      </c>
      <c r="B7">
        <v>10062</v>
      </c>
    </row>
    <row r="8" spans="1:2" x14ac:dyDescent="0.3">
      <c r="A8" s="23" t="s">
        <v>22</v>
      </c>
      <c r="B8">
        <v>8170</v>
      </c>
    </row>
    <row r="9" spans="1:2" x14ac:dyDescent="0.3">
      <c r="A9" s="23" t="s">
        <v>25</v>
      </c>
      <c r="B9">
        <v>18490</v>
      </c>
    </row>
    <row r="10" spans="1:2" x14ac:dyDescent="0.3">
      <c r="A10" s="23" t="s">
        <v>26</v>
      </c>
      <c r="B10">
        <v>24768</v>
      </c>
    </row>
    <row r="11" spans="1:2" x14ac:dyDescent="0.3">
      <c r="A11" s="23" t="s">
        <v>27</v>
      </c>
      <c r="B11">
        <v>12900</v>
      </c>
    </row>
    <row r="12" spans="1:2" x14ac:dyDescent="0.3">
      <c r="A12" s="23" t="s">
        <v>24</v>
      </c>
      <c r="B12">
        <v>22618</v>
      </c>
    </row>
    <row r="13" spans="1:2" x14ac:dyDescent="0.3">
      <c r="A13" s="23" t="s">
        <v>28</v>
      </c>
      <c r="B13">
        <v>15050</v>
      </c>
    </row>
    <row r="14" spans="1:2" x14ac:dyDescent="0.3">
      <c r="A14" s="23" t="s">
        <v>33</v>
      </c>
      <c r="B14">
        <v>112058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2AF66-8D7D-4CA8-846C-EFDC8051600B}">
  <dimension ref="A6:C35"/>
  <sheetViews>
    <sheetView workbookViewId="0">
      <selection activeCell="Q14" sqref="Q14"/>
    </sheetView>
  </sheetViews>
  <sheetFormatPr defaultRowHeight="14.4" x14ac:dyDescent="0.3"/>
  <cols>
    <col min="1" max="1" width="17.21875" bestFit="1" customWidth="1"/>
    <col min="2" max="2" width="10" bestFit="1" customWidth="1"/>
  </cols>
  <sheetData>
    <row r="6" spans="1:2" x14ac:dyDescent="0.3">
      <c r="A6" s="22" t="s">
        <v>32</v>
      </c>
      <c r="B6" t="s">
        <v>35</v>
      </c>
    </row>
    <row r="7" spans="1:2" x14ac:dyDescent="0.3">
      <c r="A7" s="23" t="s">
        <v>55</v>
      </c>
      <c r="B7">
        <v>24768</v>
      </c>
    </row>
    <row r="8" spans="1:2" x14ac:dyDescent="0.3">
      <c r="A8" s="23" t="s">
        <v>56</v>
      </c>
      <c r="B8">
        <v>57878</v>
      </c>
    </row>
    <row r="9" spans="1:2" x14ac:dyDescent="0.3">
      <c r="A9" s="23" t="s">
        <v>57</v>
      </c>
      <c r="B9">
        <v>15050</v>
      </c>
    </row>
    <row r="10" spans="1:2" x14ac:dyDescent="0.3">
      <c r="A10" s="23" t="s">
        <v>58</v>
      </c>
      <c r="B10">
        <v>14362</v>
      </c>
    </row>
    <row r="11" spans="1:2" x14ac:dyDescent="0.3">
      <c r="A11" s="23" t="s">
        <v>33</v>
      </c>
      <c r="B11">
        <v>112058</v>
      </c>
    </row>
    <row r="18" spans="1:3" x14ac:dyDescent="0.3">
      <c r="A18" s="13"/>
      <c r="B18" s="14"/>
      <c r="C18" s="15"/>
    </row>
    <row r="19" spans="1:3" x14ac:dyDescent="0.3">
      <c r="A19" s="16"/>
      <c r="B19" s="17"/>
      <c r="C19" s="18"/>
    </row>
    <row r="20" spans="1:3" x14ac:dyDescent="0.3">
      <c r="A20" s="16"/>
      <c r="B20" s="17"/>
      <c r="C20" s="18"/>
    </row>
    <row r="21" spans="1:3" x14ac:dyDescent="0.3">
      <c r="A21" s="16"/>
      <c r="B21" s="17"/>
      <c r="C21" s="18"/>
    </row>
    <row r="22" spans="1:3" x14ac:dyDescent="0.3">
      <c r="A22" s="16"/>
      <c r="B22" s="17"/>
      <c r="C22" s="18"/>
    </row>
    <row r="23" spans="1:3" x14ac:dyDescent="0.3">
      <c r="A23" s="16"/>
      <c r="B23" s="17"/>
      <c r="C23" s="18"/>
    </row>
    <row r="24" spans="1:3" x14ac:dyDescent="0.3">
      <c r="A24" s="16"/>
      <c r="B24" s="17"/>
      <c r="C24" s="18"/>
    </row>
    <row r="25" spans="1:3" x14ac:dyDescent="0.3">
      <c r="A25" s="16"/>
      <c r="B25" s="17"/>
      <c r="C25" s="18"/>
    </row>
    <row r="26" spans="1:3" x14ac:dyDescent="0.3">
      <c r="A26" s="16"/>
      <c r="B26" s="17"/>
      <c r="C26" s="18"/>
    </row>
    <row r="27" spans="1:3" x14ac:dyDescent="0.3">
      <c r="A27" s="16"/>
      <c r="B27" s="17"/>
      <c r="C27" s="18"/>
    </row>
    <row r="28" spans="1:3" x14ac:dyDescent="0.3">
      <c r="A28" s="16"/>
      <c r="B28" s="17"/>
      <c r="C28" s="18"/>
    </row>
    <row r="29" spans="1:3" x14ac:dyDescent="0.3">
      <c r="A29" s="16"/>
      <c r="B29" s="17"/>
      <c r="C29" s="18"/>
    </row>
    <row r="30" spans="1:3" x14ac:dyDescent="0.3">
      <c r="A30" s="16"/>
      <c r="B30" s="17"/>
      <c r="C30" s="18"/>
    </row>
    <row r="31" spans="1:3" x14ac:dyDescent="0.3">
      <c r="A31" s="16"/>
      <c r="B31" s="17"/>
      <c r="C31" s="18"/>
    </row>
    <row r="32" spans="1:3" x14ac:dyDescent="0.3">
      <c r="A32" s="16"/>
      <c r="B32" s="17"/>
      <c r="C32" s="18"/>
    </row>
    <row r="33" spans="1:3" x14ac:dyDescent="0.3">
      <c r="A33" s="16"/>
      <c r="B33" s="17"/>
      <c r="C33" s="18"/>
    </row>
    <row r="34" spans="1:3" x14ac:dyDescent="0.3">
      <c r="A34" s="16"/>
      <c r="B34" s="17"/>
      <c r="C34" s="18"/>
    </row>
    <row r="35" spans="1:3" x14ac:dyDescent="0.3">
      <c r="A35" s="19"/>
      <c r="B35" s="20"/>
      <c r="C35" s="21"/>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137BE-F9A4-4ACB-833F-A4490B0390A5}">
  <dimension ref="A5:B16"/>
  <sheetViews>
    <sheetView workbookViewId="0">
      <selection activeCell="D6" sqref="D6"/>
    </sheetView>
  </sheetViews>
  <sheetFormatPr defaultRowHeight="14.4" x14ac:dyDescent="0.3"/>
  <cols>
    <col min="1" max="1" width="14.33203125" bestFit="1" customWidth="1"/>
    <col min="2" max="2" width="10" bestFit="1" customWidth="1"/>
  </cols>
  <sheetData>
    <row r="5" spans="1:2" x14ac:dyDescent="0.3">
      <c r="A5" s="22" t="s">
        <v>32</v>
      </c>
      <c r="B5" t="s">
        <v>35</v>
      </c>
    </row>
    <row r="6" spans="1:2" x14ac:dyDescent="0.3">
      <c r="A6" s="23" t="s">
        <v>15</v>
      </c>
      <c r="B6">
        <v>3870</v>
      </c>
    </row>
    <row r="7" spans="1:2" x14ac:dyDescent="0.3">
      <c r="A7" s="23" t="s">
        <v>17</v>
      </c>
      <c r="B7">
        <v>15050</v>
      </c>
    </row>
    <row r="8" spans="1:2" x14ac:dyDescent="0.3">
      <c r="A8" s="23" t="s">
        <v>14</v>
      </c>
      <c r="B8">
        <v>4300</v>
      </c>
    </row>
    <row r="9" spans="1:2" x14ac:dyDescent="0.3">
      <c r="A9" s="23" t="s">
        <v>8</v>
      </c>
      <c r="B9">
        <v>8170</v>
      </c>
    </row>
    <row r="10" spans="1:2" x14ac:dyDescent="0.3">
      <c r="A10" s="23" t="s">
        <v>12</v>
      </c>
      <c r="B10">
        <v>24768</v>
      </c>
    </row>
    <row r="11" spans="1:2" x14ac:dyDescent="0.3">
      <c r="A11" s="23" t="s">
        <v>13</v>
      </c>
      <c r="B11">
        <v>12900</v>
      </c>
    </row>
    <row r="12" spans="1:2" x14ac:dyDescent="0.3">
      <c r="A12" s="23" t="s">
        <v>9</v>
      </c>
      <c r="B12">
        <v>6192</v>
      </c>
    </row>
    <row r="13" spans="1:2" x14ac:dyDescent="0.3">
      <c r="A13" s="23" t="s">
        <v>16</v>
      </c>
      <c r="B13">
        <v>9460</v>
      </c>
    </row>
    <row r="14" spans="1:2" x14ac:dyDescent="0.3">
      <c r="A14" s="23" t="s">
        <v>10</v>
      </c>
      <c r="B14">
        <v>13158</v>
      </c>
    </row>
    <row r="15" spans="1:2" x14ac:dyDescent="0.3">
      <c r="A15" s="23" t="s">
        <v>11</v>
      </c>
      <c r="B15">
        <v>14190</v>
      </c>
    </row>
    <row r="16" spans="1:2" x14ac:dyDescent="0.3">
      <c r="A16" s="23" t="s">
        <v>33</v>
      </c>
      <c r="B16">
        <v>112058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FB25-29B3-425B-A306-71B3CF72F2A1}">
  <dimension ref="B1:U30"/>
  <sheetViews>
    <sheetView topLeftCell="A5" zoomScale="85" zoomScaleNormal="85" workbookViewId="0">
      <selection activeCell="L13" sqref="L13"/>
    </sheetView>
  </sheetViews>
  <sheetFormatPr defaultRowHeight="14.4" x14ac:dyDescent="0.3"/>
  <cols>
    <col min="2" max="2" width="18.33203125" bestFit="1" customWidth="1"/>
    <col min="3" max="3" width="14" customWidth="1"/>
    <col min="4" max="4" width="15" style="6" bestFit="1" customWidth="1"/>
    <col min="5" max="5" width="15.33203125" style="6" customWidth="1"/>
    <col min="6" max="6" width="15.6640625" style="6" bestFit="1" customWidth="1"/>
    <col min="7" max="7" width="10.33203125" bestFit="1" customWidth="1"/>
    <col min="8" max="8" width="13.33203125" bestFit="1" customWidth="1"/>
    <col min="9" max="9" width="17.21875" style="1" bestFit="1" customWidth="1"/>
    <col min="10" max="10" width="20.88671875" bestFit="1" customWidth="1"/>
    <col min="11" max="11" width="21.6640625" bestFit="1" customWidth="1"/>
    <col min="12" max="12" width="18.44140625" bestFit="1" customWidth="1"/>
    <col min="13" max="13" width="12.109375" bestFit="1" customWidth="1"/>
    <col min="14" max="14" width="24.44140625" bestFit="1" customWidth="1"/>
    <col min="15" max="15" width="22.77734375" bestFit="1" customWidth="1"/>
  </cols>
  <sheetData>
    <row r="1" spans="2:21" x14ac:dyDescent="0.3">
      <c r="H1" s="1"/>
      <c r="I1"/>
    </row>
    <row r="2" spans="2:21" x14ac:dyDescent="0.3">
      <c r="H2" s="1"/>
      <c r="I2"/>
    </row>
    <row r="3" spans="2:21" x14ac:dyDescent="0.3">
      <c r="H3" s="1"/>
      <c r="I3"/>
    </row>
    <row r="4" spans="2:21" x14ac:dyDescent="0.3">
      <c r="H4" s="1"/>
      <c r="I4"/>
    </row>
    <row r="5" spans="2:21" x14ac:dyDescent="0.3">
      <c r="H5" s="1"/>
      <c r="I5"/>
    </row>
    <row r="6" spans="2:21" ht="33.6" x14ac:dyDescent="0.65">
      <c r="B6" s="9"/>
      <c r="C6" s="9"/>
      <c r="D6" s="10"/>
      <c r="E6" s="34" t="s">
        <v>0</v>
      </c>
      <c r="F6" s="11"/>
      <c r="G6" s="9"/>
      <c r="H6" s="12"/>
      <c r="I6" s="9"/>
      <c r="K6" s="35" t="s">
        <v>54</v>
      </c>
      <c r="L6" s="35"/>
      <c r="M6" s="35"/>
      <c r="N6" s="35"/>
      <c r="O6" s="35"/>
    </row>
    <row r="7" spans="2:21" x14ac:dyDescent="0.3">
      <c r="H7" s="1"/>
      <c r="I7"/>
    </row>
    <row r="8" spans="2:21" x14ac:dyDescent="0.3">
      <c r="H8" s="1"/>
      <c r="I8"/>
    </row>
    <row r="9" spans="2:21" x14ac:dyDescent="0.3">
      <c r="H9" s="1"/>
      <c r="I9"/>
    </row>
    <row r="10" spans="2:21" ht="18" x14ac:dyDescent="0.35">
      <c r="B10" s="26" t="s">
        <v>1</v>
      </c>
      <c r="C10" s="26" t="s">
        <v>30</v>
      </c>
      <c r="D10" s="30" t="s">
        <v>5</v>
      </c>
      <c r="E10" s="30" t="s">
        <v>29</v>
      </c>
      <c r="F10" s="30" t="s">
        <v>34</v>
      </c>
      <c r="G10" s="26" t="s">
        <v>6</v>
      </c>
      <c r="H10" s="31" t="s">
        <v>7</v>
      </c>
      <c r="I10" s="26" t="s">
        <v>31</v>
      </c>
      <c r="K10" s="26" t="s">
        <v>1</v>
      </c>
      <c r="L10" s="26" t="s">
        <v>34</v>
      </c>
      <c r="M10" s="26" t="s">
        <v>6</v>
      </c>
      <c r="N10" s="26" t="s">
        <v>52</v>
      </c>
      <c r="O10" s="26" t="s">
        <v>53</v>
      </c>
    </row>
    <row r="11" spans="2:21" ht="18" x14ac:dyDescent="0.35">
      <c r="B11" s="27" t="s">
        <v>8</v>
      </c>
      <c r="C11" s="27" t="s">
        <v>2</v>
      </c>
      <c r="D11" s="28">
        <v>12000</v>
      </c>
      <c r="E11" s="28">
        <f>Main_Table[[#This Row],[Amount]]*14%</f>
        <v>1680.0000000000002</v>
      </c>
      <c r="F11" s="30">
        <f>Main_Table[[#This Row],[Amount]]-Main_Table[[#This Row],[Tax (14%)]]</f>
        <v>10320</v>
      </c>
      <c r="G11" s="27" t="s">
        <v>22</v>
      </c>
      <c r="H11" s="32">
        <v>45671</v>
      </c>
      <c r="I11" s="27" t="s">
        <v>18</v>
      </c>
      <c r="K11" s="27" t="s">
        <v>8</v>
      </c>
      <c r="L11" s="33">
        <f>SUMIFS(Main_Table[Net],Main_Table[Customer Name],Customer_Types_Table[[#This Row],[Customer Name]])</f>
        <v>8170</v>
      </c>
      <c r="M11" s="27" t="str">
        <f>VLOOKUP(Customer_Types_Table[[#This Row],[Customer Name]],Database[],2,FALSE)</f>
        <v>Cairo</v>
      </c>
      <c r="N11" s="28" t="str" cm="1">
        <f t="array" ref="N11">_xlfn.IFS(Customer_Types_Table[[#This Row],[Net]]&gt;24000,"Important Customer",Customer_Types_Table[[#This Row],[Net]]&gt;15000,"Strong Customer", Customer_Types_Table[[#This Row],[Net]]&gt;8000,"Regular Customer",Customer_Types_Table[[#This Row],[Net]]&gt;3000,"Weak Customer",TRUE, "very weak")</f>
        <v>Regular Customer</v>
      </c>
      <c r="O11" s="29">
        <f>Customer_Types_Table[[#This Row],[Net]]/SUM(Customer_Types_Table[Net])</f>
        <v>7.2908672294704532E-2</v>
      </c>
    </row>
    <row r="12" spans="2:21" ht="18" x14ac:dyDescent="0.35">
      <c r="B12" s="27" t="s">
        <v>9</v>
      </c>
      <c r="C12" s="27" t="s">
        <v>2</v>
      </c>
      <c r="D12" s="28">
        <v>8000</v>
      </c>
      <c r="E12" s="28">
        <f>Main_Table[[#This Row],[Amount]]*14%</f>
        <v>1120</v>
      </c>
      <c r="F12" s="30">
        <f>Main_Table[[#This Row],[Amount]]-Main_Table[[#This Row],[Tax (14%)]]</f>
        <v>6880</v>
      </c>
      <c r="G12" s="27" t="s">
        <v>23</v>
      </c>
      <c r="H12" s="32">
        <v>45702</v>
      </c>
      <c r="I12" s="27" t="s">
        <v>19</v>
      </c>
      <c r="K12" s="27" t="s">
        <v>9</v>
      </c>
      <c r="L12" s="33">
        <f>SUMIFS(Main_Table[Net],Main_Table[Customer Name],Customer_Types_Table[[#This Row],[Customer Name]])</f>
        <v>6192</v>
      </c>
      <c r="M12" s="27" t="str">
        <f>VLOOKUP(Customer_Types_Table[[#This Row],[Customer Name]],Database[],2,FALSE)</f>
        <v>Alexandria</v>
      </c>
      <c r="N12" s="28" t="str" cm="1">
        <f t="array" ref="N12">_xlfn.IFS(Customer_Types_Table[[#This Row],[Net]]&gt;24000,"Important Customer",Customer_Types_Table[[#This Row],[Net]]&gt;15000,"Strong Customer", Customer_Types_Table[[#This Row],[Net]]&gt;8000,"Regular Customer",Customer_Types_Table[[#This Row],[Net]]&gt;3000,"Weak Customer",TRUE, "very weak")</f>
        <v>Weak Customer</v>
      </c>
      <c r="O12" s="29">
        <f>Customer_Types_Table[[#This Row],[Net]]/SUM(Customer_Types_Table[Net])</f>
        <v>5.5257099002302378E-2</v>
      </c>
      <c r="R12" s="7"/>
      <c r="S12" s="2"/>
      <c r="T12" s="3"/>
      <c r="U12" s="2"/>
    </row>
    <row r="13" spans="2:21" ht="18" x14ac:dyDescent="0.35">
      <c r="B13" s="27" t="s">
        <v>10</v>
      </c>
      <c r="C13" s="27" t="s">
        <v>2</v>
      </c>
      <c r="D13" s="28">
        <v>6000</v>
      </c>
      <c r="E13" s="28">
        <f>Main_Table[[#This Row],[Amount]]*14%</f>
        <v>840.00000000000011</v>
      </c>
      <c r="F13" s="30">
        <f>Main_Table[[#This Row],[Amount]]-Main_Table[[#This Row],[Tax (14%)]]</f>
        <v>5160</v>
      </c>
      <c r="G13" s="27" t="s">
        <v>24</v>
      </c>
      <c r="H13" s="32">
        <v>45730</v>
      </c>
      <c r="I13" s="27" t="s">
        <v>21</v>
      </c>
      <c r="K13" s="27" t="s">
        <v>10</v>
      </c>
      <c r="L13" s="33">
        <f>SUMIFS(Main_Table[Net],Main_Table[Customer Name],Customer_Types_Table[[#This Row],[Customer Name]])</f>
        <v>13158</v>
      </c>
      <c r="M13" s="27" t="str">
        <f>VLOOKUP(Customer_Types_Table[[#This Row],[Customer Name]],Database[],2,FALSE)</f>
        <v>Tanta</v>
      </c>
      <c r="N13" s="28" t="str" cm="1">
        <f t="array" ref="N13">_xlfn.IFS(Customer_Types_Table[[#This Row],[Net]]&gt;24000,"Important Customer",Customer_Types_Table[[#This Row],[Net]]&gt;15000,"Strong Customer", Customer_Types_Table[[#This Row],[Net]]&gt;8000,"Regular Customer",Customer_Types_Table[[#This Row],[Net]]&gt;3000,"Weak Customer",TRUE, "very weak")</f>
        <v>Regular Customer</v>
      </c>
      <c r="O13" s="29">
        <f>Customer_Types_Table[[#This Row],[Net]]/SUM(Customer_Types_Table[Net])</f>
        <v>0.11742133537989255</v>
      </c>
      <c r="R13" s="7"/>
      <c r="S13" s="4"/>
      <c r="T13" s="5"/>
      <c r="U13" s="4"/>
    </row>
    <row r="14" spans="2:21" ht="18" x14ac:dyDescent="0.35">
      <c r="B14" s="27" t="s">
        <v>11</v>
      </c>
      <c r="C14" s="27" t="s">
        <v>2</v>
      </c>
      <c r="D14" s="28">
        <v>18000</v>
      </c>
      <c r="E14" s="28">
        <f>Main_Table[[#This Row],[Amount]]*14%</f>
        <v>2520.0000000000005</v>
      </c>
      <c r="F14" s="30">
        <f>Main_Table[[#This Row],[Amount]]-Main_Table[[#This Row],[Tax (14%)]]</f>
        <v>15480</v>
      </c>
      <c r="G14" s="27" t="s">
        <v>25</v>
      </c>
      <c r="H14" s="32">
        <v>45761</v>
      </c>
      <c r="I14" s="27" t="s">
        <v>20</v>
      </c>
      <c r="K14" s="27" t="s">
        <v>11</v>
      </c>
      <c r="L14" s="33">
        <f>SUMIFS(Main_Table[Net],Main_Table[Customer Name],Customer_Types_Table[[#This Row],[Customer Name]])</f>
        <v>14190</v>
      </c>
      <c r="M14" s="27" t="str">
        <f>VLOOKUP(Customer_Types_Table[[#This Row],[Customer Name]],Database[],2,FALSE)</f>
        <v>Giza</v>
      </c>
      <c r="N14" s="28" t="str" cm="1">
        <f t="array" ref="N14">_xlfn.IFS(Customer_Types_Table[[#This Row],[Net]]&gt;24000,"Important Customer",Customer_Types_Table[[#This Row],[Net]]&gt;15000,"Strong Customer", Customer_Types_Table[[#This Row],[Net]]&gt;8000,"Regular Customer",Customer_Types_Table[[#This Row],[Net]]&gt;3000,"Weak Customer",TRUE, "very weak")</f>
        <v>Regular Customer</v>
      </c>
      <c r="O14" s="29">
        <f>Customer_Types_Table[[#This Row],[Net]]/SUM(Customer_Types_Table[Net])</f>
        <v>0.12663085188027629</v>
      </c>
      <c r="R14" s="7"/>
      <c r="S14" s="4"/>
      <c r="T14" s="5"/>
      <c r="U14" s="4"/>
    </row>
    <row r="15" spans="2:21" ht="18" x14ac:dyDescent="0.35">
      <c r="B15" s="27" t="s">
        <v>12</v>
      </c>
      <c r="C15" s="27" t="s">
        <v>2</v>
      </c>
      <c r="D15" s="28">
        <v>22000</v>
      </c>
      <c r="E15" s="28">
        <f>Main_Table[[#This Row],[Amount]]*14%</f>
        <v>3080.0000000000005</v>
      </c>
      <c r="F15" s="30">
        <f>Main_Table[[#This Row],[Amount]]-Main_Table[[#This Row],[Tax (14%)]]</f>
        <v>18920</v>
      </c>
      <c r="G15" s="27" t="s">
        <v>26</v>
      </c>
      <c r="H15" s="32">
        <v>45791</v>
      </c>
      <c r="I15" s="27" t="s">
        <v>18</v>
      </c>
      <c r="K15" s="27" t="s">
        <v>12</v>
      </c>
      <c r="L15" s="33">
        <f>SUMIFS(Main_Table[Net],Main_Table[Customer Name],Customer_Types_Table[[#This Row],[Customer Name]])</f>
        <v>24768</v>
      </c>
      <c r="M15" s="27" t="str">
        <f>VLOOKUP(Customer_Types_Table[[#This Row],[Customer Name]],Database[],2,FALSE)</f>
        <v>Luxor</v>
      </c>
      <c r="N15" s="28" t="str" cm="1">
        <f t="array" ref="N15">_xlfn.IFS(Customer_Types_Table[[#This Row],[Net]]&gt;24000,"Important Customer",Customer_Types_Table[[#This Row],[Net]]&gt;15000,"Strong Customer", Customer_Types_Table[[#This Row],[Net]]&gt;8000,"Regular Customer",Customer_Types_Table[[#This Row],[Net]]&gt;3000,"Weak Customer",TRUE, "very weak")</f>
        <v>Important Customer</v>
      </c>
      <c r="O15" s="29">
        <f>Customer_Types_Table[[#This Row],[Net]]/SUM(Customer_Types_Table[Net])</f>
        <v>0.22102839600920951</v>
      </c>
      <c r="R15" s="7"/>
      <c r="S15" s="4"/>
      <c r="T15" s="5"/>
      <c r="U15" s="4"/>
    </row>
    <row r="16" spans="2:21" ht="18" x14ac:dyDescent="0.35">
      <c r="B16" s="27" t="s">
        <v>13</v>
      </c>
      <c r="C16" s="27" t="s">
        <v>2</v>
      </c>
      <c r="D16" s="28">
        <v>15000</v>
      </c>
      <c r="E16" s="28">
        <f>Main_Table[[#This Row],[Amount]]*14%</f>
        <v>2100</v>
      </c>
      <c r="F16" s="30">
        <f>Main_Table[[#This Row],[Amount]]-Main_Table[[#This Row],[Tax (14%)]]</f>
        <v>12900</v>
      </c>
      <c r="G16" s="27" t="s">
        <v>27</v>
      </c>
      <c r="H16" s="32">
        <v>45822</v>
      </c>
      <c r="I16" s="27" t="s">
        <v>19</v>
      </c>
      <c r="K16" s="27" t="s">
        <v>13</v>
      </c>
      <c r="L16" s="33">
        <f>SUMIFS(Main_Table[Net],Main_Table[Customer Name],Customer_Types_Table[[#This Row],[Customer Name]])</f>
        <v>12900</v>
      </c>
      <c r="M16" s="27" t="str">
        <f>VLOOKUP(Customer_Types_Table[[#This Row],[Customer Name]],Database[],2,FALSE)</f>
        <v>Sohag</v>
      </c>
      <c r="N16" s="28" t="str" cm="1">
        <f t="array" ref="N16">_xlfn.IFS(Customer_Types_Table[[#This Row],[Net]]&gt;24000,"Important Customer",Customer_Types_Table[[#This Row],[Net]]&gt;15000,"Strong Customer", Customer_Types_Table[[#This Row],[Net]]&gt;8000,"Regular Customer",Customer_Types_Table[[#This Row],[Net]]&gt;3000,"Weak Customer",TRUE, "very weak")</f>
        <v>Regular Customer</v>
      </c>
      <c r="O16" s="29">
        <f>Customer_Types_Table[[#This Row],[Net]]/SUM(Customer_Types_Table[Net])</f>
        <v>0.11511895625479662</v>
      </c>
      <c r="R16" s="7"/>
      <c r="S16" s="4"/>
      <c r="T16" s="5"/>
      <c r="U16" s="4"/>
    </row>
    <row r="17" spans="2:21" ht="18" x14ac:dyDescent="0.35">
      <c r="B17" s="27" t="s">
        <v>14</v>
      </c>
      <c r="C17" s="27" t="s">
        <v>2</v>
      </c>
      <c r="D17" s="28">
        <v>5000</v>
      </c>
      <c r="E17" s="28">
        <f>Main_Table[[#This Row],[Amount]]*14%</f>
        <v>700.00000000000011</v>
      </c>
      <c r="F17" s="30">
        <f>Main_Table[[#This Row],[Amount]]-Main_Table[[#This Row],[Tax (14%)]]</f>
        <v>4300</v>
      </c>
      <c r="G17" s="27" t="s">
        <v>25</v>
      </c>
      <c r="H17" s="32">
        <v>45852</v>
      </c>
      <c r="I17" s="27" t="s">
        <v>21</v>
      </c>
      <c r="K17" s="27" t="s">
        <v>14</v>
      </c>
      <c r="L17" s="33">
        <f>SUMIFS(Main_Table[Net],Main_Table[Customer Name],Customer_Types_Table[[#This Row],[Customer Name]])</f>
        <v>4300</v>
      </c>
      <c r="M17" s="27" t="str">
        <f>VLOOKUP(Customer_Types_Table[[#This Row],[Customer Name]],Database[],2,FALSE)</f>
        <v>Giza</v>
      </c>
      <c r="N17" s="28" t="str" cm="1">
        <f t="array" ref="N17">_xlfn.IFS(Customer_Types_Table[[#This Row],[Net]]&gt;24000,"Important Customer",Customer_Types_Table[[#This Row],[Net]]&gt;15000,"Strong Customer", Customer_Types_Table[[#This Row],[Net]]&gt;8000,"Regular Customer",Customer_Types_Table[[#This Row],[Net]]&gt;3000,"Weak Customer",TRUE, "very weak")</f>
        <v>Weak Customer</v>
      </c>
      <c r="O17" s="29">
        <f>Customer_Types_Table[[#This Row],[Net]]/SUM(Customer_Types_Table[Net])</f>
        <v>3.8372985418265539E-2</v>
      </c>
      <c r="R17" s="7"/>
      <c r="S17" s="4"/>
      <c r="T17" s="5"/>
      <c r="U17" s="4"/>
    </row>
    <row r="18" spans="2:21" ht="18" x14ac:dyDescent="0.35">
      <c r="B18" s="27" t="s">
        <v>10</v>
      </c>
      <c r="C18" s="27" t="s">
        <v>2</v>
      </c>
      <c r="D18" s="28">
        <v>3000</v>
      </c>
      <c r="E18" s="28">
        <f>Main_Table[[#This Row],[Amount]]*14%</f>
        <v>420.00000000000006</v>
      </c>
      <c r="F18" s="30">
        <f>Main_Table[[#This Row],[Amount]]-Main_Table[[#This Row],[Tax (14%)]]</f>
        <v>2580</v>
      </c>
      <c r="G18" s="27" t="s">
        <v>24</v>
      </c>
      <c r="H18" s="32">
        <v>45883</v>
      </c>
      <c r="I18" s="27" t="s">
        <v>20</v>
      </c>
      <c r="K18" s="27" t="s">
        <v>15</v>
      </c>
      <c r="L18" s="33">
        <f>SUMIFS(Main_Table[Net],Main_Table[Customer Name],Customer_Types_Table[[#This Row],[Customer Name]])</f>
        <v>3870</v>
      </c>
      <c r="M18" s="27" t="str">
        <f>VLOOKUP(Customer_Types_Table[[#This Row],[Customer Name]],Database[],2,FALSE)</f>
        <v>Alexandria</v>
      </c>
      <c r="N18" s="28" t="str" cm="1">
        <f t="array" ref="N18">_xlfn.IFS(Customer_Types_Table[[#This Row],[Net]]&gt;24000,"Important Customer",Customer_Types_Table[[#This Row],[Net]]&gt;15000,"Strong Customer", Customer_Types_Table[[#This Row],[Net]]&gt;8000,"Regular Customer",Customer_Types_Table[[#This Row],[Net]]&gt;3000,"Weak Customer",TRUE, "very weak")</f>
        <v>Weak Customer</v>
      </c>
      <c r="O18" s="29">
        <f>Customer_Types_Table[[#This Row],[Net]]/SUM(Customer_Types_Table[Net])</f>
        <v>3.4535686876438987E-2</v>
      </c>
      <c r="R18" s="7"/>
      <c r="S18" s="4"/>
      <c r="T18" s="5"/>
      <c r="U18" s="4"/>
    </row>
    <row r="19" spans="2:21" ht="18" x14ac:dyDescent="0.35">
      <c r="B19" s="27" t="s">
        <v>15</v>
      </c>
      <c r="C19" s="27" t="s">
        <v>2</v>
      </c>
      <c r="D19" s="28">
        <v>4500</v>
      </c>
      <c r="E19" s="28">
        <f>Main_Table[[#This Row],[Amount]]*14%</f>
        <v>630.00000000000011</v>
      </c>
      <c r="F19" s="30">
        <f>Main_Table[[#This Row],[Amount]]-Main_Table[[#This Row],[Tax (14%)]]</f>
        <v>3870</v>
      </c>
      <c r="G19" s="27" t="s">
        <v>23</v>
      </c>
      <c r="H19" s="32">
        <v>45914</v>
      </c>
      <c r="I19" s="27" t="s">
        <v>18</v>
      </c>
      <c r="K19" s="27" t="s">
        <v>16</v>
      </c>
      <c r="L19" s="33">
        <f>SUMIFS(Main_Table[Net],Main_Table[Customer Name],Customer_Types_Table[[#This Row],[Customer Name]])</f>
        <v>9460</v>
      </c>
      <c r="M19" s="27" t="str">
        <f>VLOOKUP(Customer_Types_Table[[#This Row],[Customer Name]],Database[],2,FALSE)</f>
        <v>Tanta</v>
      </c>
      <c r="N19" s="28" t="str" cm="1">
        <f t="array" ref="N19">_xlfn.IFS(Customer_Types_Table[[#This Row],[Net]]&gt;24000,"Important Customer",Customer_Types_Table[[#This Row],[Net]]&gt;15000,"Strong Customer", Customer_Types_Table[[#This Row],[Net]]&gt;8000,"Regular Customer",Customer_Types_Table[[#This Row],[Net]]&gt;3000,"Weak Customer",TRUE, "very weak")</f>
        <v>Regular Customer</v>
      </c>
      <c r="O19" s="29">
        <f>Customer_Types_Table[[#This Row],[Net]]/SUM(Customer_Types_Table[Net])</f>
        <v>8.4420567920184195E-2</v>
      </c>
      <c r="R19" s="7"/>
      <c r="S19" s="4"/>
      <c r="T19" s="5"/>
      <c r="U19" s="4"/>
    </row>
    <row r="20" spans="2:21" ht="18" x14ac:dyDescent="0.35">
      <c r="B20" s="27" t="s">
        <v>16</v>
      </c>
      <c r="C20" s="27" t="s">
        <v>2</v>
      </c>
      <c r="D20" s="28">
        <v>11000</v>
      </c>
      <c r="E20" s="28">
        <f>Main_Table[[#This Row],[Amount]]*14%</f>
        <v>1540.0000000000002</v>
      </c>
      <c r="F20" s="30">
        <f>Main_Table[[#This Row],[Amount]]-Main_Table[[#This Row],[Tax (14%)]]</f>
        <v>9460</v>
      </c>
      <c r="G20" s="27" t="s">
        <v>24</v>
      </c>
      <c r="H20" s="32">
        <v>45944</v>
      </c>
      <c r="I20" s="27" t="s">
        <v>19</v>
      </c>
      <c r="K20" s="27" t="s">
        <v>17</v>
      </c>
      <c r="L20" s="33">
        <f>SUMIFS(Main_Table[Net],Main_Table[Customer Name],Customer_Types_Table[[#This Row],[Customer Name]])</f>
        <v>15050</v>
      </c>
      <c r="M20" s="27" t="str">
        <f>VLOOKUP(Customer_Types_Table[[#This Row],[Customer Name]],Database[],2,FALSE)</f>
        <v>Zagazig</v>
      </c>
      <c r="N20" s="28" t="str" cm="1">
        <f t="array" ref="N20">_xlfn.IFS(Customer_Types_Table[[#This Row],[Net]]&gt;24000,"Important Customer",Customer_Types_Table[[#This Row],[Net]]&gt;15000,"Strong Customer", Customer_Types_Table[[#This Row],[Net]]&gt;8000,"Regular Customer",Customer_Types_Table[[#This Row],[Net]]&gt;3000,"Weak Customer",TRUE, "very weak")</f>
        <v>Strong Customer</v>
      </c>
      <c r="O20" s="29">
        <f>Customer_Types_Table[[#This Row],[Net]]/SUM(Customer_Types_Table[Net])</f>
        <v>0.1343054489639294</v>
      </c>
      <c r="R20" s="7"/>
      <c r="S20" s="4"/>
      <c r="T20" s="5"/>
      <c r="U20" s="4"/>
    </row>
    <row r="21" spans="2:21" ht="18" x14ac:dyDescent="0.35">
      <c r="B21" s="27" t="s">
        <v>17</v>
      </c>
      <c r="C21" s="27" t="s">
        <v>2</v>
      </c>
      <c r="D21" s="28">
        <v>17500</v>
      </c>
      <c r="E21" s="28">
        <f>Main_Table[[#This Row],[Amount]]*14%</f>
        <v>2450.0000000000005</v>
      </c>
      <c r="F21" s="30">
        <f>Main_Table[[#This Row],[Amount]]-Main_Table[[#This Row],[Tax (14%)]]</f>
        <v>15050</v>
      </c>
      <c r="G21" s="27" t="s">
        <v>28</v>
      </c>
      <c r="H21" s="32">
        <v>45975</v>
      </c>
      <c r="I21" s="27" t="s">
        <v>21</v>
      </c>
      <c r="N21" s="4"/>
      <c r="O21" s="4"/>
      <c r="P21" s="8"/>
      <c r="Q21" s="8"/>
      <c r="R21" s="7"/>
      <c r="S21" s="4"/>
      <c r="T21" s="5"/>
      <c r="U21" s="4"/>
    </row>
    <row r="22" spans="2:21" ht="18" x14ac:dyDescent="0.35">
      <c r="B22" s="27" t="s">
        <v>12</v>
      </c>
      <c r="C22" s="27" t="s">
        <v>2</v>
      </c>
      <c r="D22" s="28">
        <v>9000</v>
      </c>
      <c r="E22" s="28">
        <f>Main_Table[[#This Row],[Amount]]*14%</f>
        <v>1260.0000000000002</v>
      </c>
      <c r="F22" s="30">
        <f>Main_Table[[#This Row],[Amount]]-Main_Table[[#This Row],[Tax (14%)]]</f>
        <v>7740</v>
      </c>
      <c r="G22" s="27" t="s">
        <v>26</v>
      </c>
      <c r="H22" s="32">
        <v>46005</v>
      </c>
      <c r="I22" s="27" t="s">
        <v>20</v>
      </c>
      <c r="N22" s="4"/>
      <c r="O22" s="4"/>
      <c r="P22" s="8"/>
      <c r="Q22" s="8"/>
      <c r="R22" s="7"/>
      <c r="S22" s="4"/>
      <c r="T22" s="5"/>
      <c r="U22" s="4"/>
    </row>
    <row r="23" spans="2:21" ht="18" x14ac:dyDescent="0.35">
      <c r="B23" s="27" t="s">
        <v>11</v>
      </c>
      <c r="C23" s="27" t="s">
        <v>3</v>
      </c>
      <c r="D23" s="28">
        <v>1500</v>
      </c>
      <c r="E23" s="28">
        <f>Main_Table[[#This Row],[Amount]]*14%</f>
        <v>210.00000000000003</v>
      </c>
      <c r="F23" s="30">
        <f>-(Main_Table[[#This Row],[Amount]]-Main_Table[[#This Row],[Tax (14%)]])</f>
        <v>-1290</v>
      </c>
      <c r="G23" s="27" t="s">
        <v>25</v>
      </c>
      <c r="H23" s="32">
        <v>45823</v>
      </c>
      <c r="I23" s="27" t="s">
        <v>20</v>
      </c>
      <c r="N23" s="4"/>
      <c r="O23" s="4"/>
      <c r="P23" s="8"/>
      <c r="Q23" s="8"/>
      <c r="R23" s="7"/>
      <c r="S23" s="4"/>
      <c r="T23" s="5"/>
      <c r="U23" s="4"/>
    </row>
    <row r="24" spans="2:21" ht="18" x14ac:dyDescent="0.35">
      <c r="B24" s="27" t="s">
        <v>8</v>
      </c>
      <c r="C24" s="27" t="s">
        <v>4</v>
      </c>
      <c r="D24" s="28">
        <v>2500</v>
      </c>
      <c r="E24" s="28">
        <f>Main_Table[[#This Row],[Amount]]*14%</f>
        <v>350.00000000000006</v>
      </c>
      <c r="F24" s="30">
        <f>-(Main_Table[[#This Row],[Amount]]-Main_Table[[#This Row],[Tax (14%)]])</f>
        <v>-2150</v>
      </c>
      <c r="G24" s="27" t="s">
        <v>22</v>
      </c>
      <c r="H24" s="32">
        <v>45824</v>
      </c>
      <c r="I24" s="27" t="s">
        <v>18</v>
      </c>
      <c r="N24" s="4"/>
      <c r="O24" s="4"/>
      <c r="P24" s="8"/>
      <c r="Q24" s="8"/>
      <c r="R24" s="7"/>
      <c r="S24" s="4"/>
      <c r="T24" s="5"/>
      <c r="U24" s="4"/>
    </row>
    <row r="25" spans="2:21" ht="18" x14ac:dyDescent="0.35">
      <c r="B25" s="27" t="s">
        <v>9</v>
      </c>
      <c r="C25" s="27" t="s">
        <v>4</v>
      </c>
      <c r="D25" s="28">
        <v>800</v>
      </c>
      <c r="E25" s="28">
        <f>Main_Table[[#This Row],[Amount]]*14%</f>
        <v>112.00000000000001</v>
      </c>
      <c r="F25" s="30">
        <f>-(Main_Table[[#This Row],[Amount]]-Main_Table[[#This Row],[Tax (14%)]])</f>
        <v>-688</v>
      </c>
      <c r="G25" s="27" t="s">
        <v>23</v>
      </c>
      <c r="H25" s="32">
        <v>45825</v>
      </c>
      <c r="I25" s="27" t="s">
        <v>19</v>
      </c>
      <c r="N25" s="4"/>
      <c r="O25" s="4"/>
      <c r="P25" s="8"/>
      <c r="Q25" s="8"/>
      <c r="R25" s="7"/>
      <c r="S25" s="4"/>
      <c r="T25" s="5"/>
      <c r="U25" s="4"/>
    </row>
    <row r="26" spans="2:21" ht="18" x14ac:dyDescent="0.35">
      <c r="B26" s="27" t="s">
        <v>10</v>
      </c>
      <c r="C26" s="27" t="s">
        <v>3</v>
      </c>
      <c r="D26" s="28">
        <v>1200</v>
      </c>
      <c r="E26" s="28">
        <f>Main_Table[[#This Row],[Amount]]*14%</f>
        <v>168.00000000000003</v>
      </c>
      <c r="F26" s="30">
        <f>-(Main_Table[[#This Row],[Amount]]-Main_Table[[#This Row],[Tax (14%)]])</f>
        <v>-1032</v>
      </c>
      <c r="G26" s="27" t="s">
        <v>24</v>
      </c>
      <c r="H26" s="32">
        <v>45826</v>
      </c>
      <c r="I26" s="27" t="s">
        <v>21</v>
      </c>
      <c r="N26" s="4"/>
      <c r="O26" s="4"/>
      <c r="P26" s="8"/>
      <c r="Q26" s="8"/>
      <c r="R26" s="7"/>
      <c r="S26" s="4"/>
      <c r="T26" s="5"/>
      <c r="U26" s="4"/>
    </row>
    <row r="27" spans="2:21" ht="18" x14ac:dyDescent="0.35">
      <c r="B27" s="27" t="s">
        <v>12</v>
      </c>
      <c r="C27" s="27" t="s">
        <v>3</v>
      </c>
      <c r="D27" s="28">
        <v>2200</v>
      </c>
      <c r="E27" s="28">
        <f>Main_Table[[#This Row],[Amount]]*14%</f>
        <v>308.00000000000006</v>
      </c>
      <c r="F27" s="30">
        <f>-(Main_Table[[#This Row],[Amount]]-Main_Table[[#This Row],[Tax (14%)]])</f>
        <v>-1892</v>
      </c>
      <c r="G27" s="26" t="s">
        <v>26</v>
      </c>
      <c r="H27" s="32">
        <v>45829</v>
      </c>
      <c r="I27" s="27" t="s">
        <v>18</v>
      </c>
      <c r="N27" s="4"/>
      <c r="O27" s="4"/>
      <c r="P27" s="8"/>
      <c r="Q27" s="8"/>
      <c r="R27" s="7"/>
      <c r="S27" s="4"/>
      <c r="T27" s="5"/>
      <c r="U27" s="4"/>
    </row>
    <row r="28" spans="2:21" ht="18" x14ac:dyDescent="0.35">
      <c r="B28" s="27" t="s">
        <v>10</v>
      </c>
      <c r="C28" s="27" t="s">
        <v>2</v>
      </c>
      <c r="D28" s="28">
        <v>7500</v>
      </c>
      <c r="E28" s="28">
        <f>Main_Table[[#This Row],[Amount]]*14%</f>
        <v>1050</v>
      </c>
      <c r="F28" s="30">
        <f>Main_Table[[#This Row],[Amount]]-Main_Table[[#This Row],[Tax (14%)]]</f>
        <v>6450</v>
      </c>
      <c r="G28" s="27" t="s">
        <v>24</v>
      </c>
      <c r="H28" s="32">
        <v>45791</v>
      </c>
      <c r="I28" s="27" t="s">
        <v>21</v>
      </c>
      <c r="N28" s="4"/>
      <c r="O28" s="4"/>
      <c r="P28" s="8"/>
      <c r="Q28" s="8"/>
      <c r="R28" s="7"/>
      <c r="S28" s="4"/>
      <c r="T28" s="5"/>
      <c r="U28" s="4"/>
    </row>
    <row r="29" spans="2:21" ht="15.6" x14ac:dyDescent="0.3">
      <c r="N29" s="4"/>
      <c r="O29" s="4"/>
      <c r="P29" s="8"/>
      <c r="Q29" s="8"/>
      <c r="R29" s="7"/>
      <c r="S29" s="4"/>
      <c r="T29" s="5"/>
      <c r="U29" s="4"/>
    </row>
    <row r="30" spans="2:21" ht="15.6" x14ac:dyDescent="0.3">
      <c r="N30" s="4"/>
      <c r="O30" s="4"/>
      <c r="P30" s="8"/>
      <c r="Q30" s="8"/>
      <c r="R30" s="7"/>
      <c r="S30" s="4"/>
      <c r="T30" s="5"/>
      <c r="U30" s="4"/>
    </row>
  </sheetData>
  <mergeCells count="1">
    <mergeCell ref="K6:O6"/>
  </mergeCells>
  <phoneticPr fontId="6" type="noConversion"/>
  <conditionalFormatting sqref="O11:O20">
    <cfRule type="dataBar" priority="4">
      <dataBar>
        <cfvo type="min"/>
        <cfvo type="max"/>
        <color rgb="FFFF555A"/>
      </dataBar>
      <extLst>
        <ext xmlns:x14="http://schemas.microsoft.com/office/spreadsheetml/2009/9/main" uri="{B025F937-C7B1-47D3-B67F-A62EFF666E3E}">
          <x14:id>{D38C5CFD-AEC8-4A83-B222-E3B360A13BBA}</x14:id>
        </ext>
      </extLst>
    </cfRule>
  </conditionalFormatting>
  <pageMargins left="0.7" right="0.7" top="0.75" bottom="0.75" header="0.3" footer="0.3"/>
  <ignoredErrors>
    <ignoredError sqref="F23:F27" calculatedColumn="1"/>
  </ignoredErrors>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6F910981-5315-40D0-B4A4-77E573772CB8}">
            <xm:f>NOT(ISERROR(SEARCH($N$15,N15)))</xm:f>
            <xm:f>$N$15</xm:f>
            <x14:dxf>
              <fill>
                <patternFill>
                  <bgColor rgb="FFFFC7CE"/>
                </patternFill>
              </fill>
            </x14:dxf>
          </x14:cfRule>
          <x14:cfRule type="containsText" priority="2" operator="containsText" id="{17A809C0-3641-442A-A1D1-F303B34BDEEF}">
            <xm:f>NOT(ISERROR(SEARCH($N$15,N15)))</xm:f>
            <xm:f>$N$15</xm:f>
            <x14:dxf>
              <border>
                <left style="thin">
                  <color rgb="FF9C0006"/>
                </left>
                <right style="thin">
                  <color rgb="FF9C0006"/>
                </right>
                <top style="thin">
                  <color rgb="FF9C0006"/>
                </top>
                <bottom style="thin">
                  <color rgb="FF9C0006"/>
                </bottom>
              </border>
            </x14:dxf>
          </x14:cfRule>
          <x14:cfRule type="containsText" priority="3" operator="containsText" id="{0AB4C7C4-BE73-4041-A88F-064F25B69ABF}">
            <xm:f>NOT(ISERROR(SEARCH($N$15,N15)))</xm:f>
            <xm:f>$N$15</xm:f>
            <x14:dxf>
              <font>
                <color rgb="FF9C0006"/>
              </font>
              <fill>
                <patternFill>
                  <bgColor rgb="FFFFC7CE"/>
                </patternFill>
              </fill>
            </x14:dxf>
          </x14:cfRule>
          <xm:sqref>N15</xm:sqref>
        </x14:conditionalFormatting>
        <x14:conditionalFormatting xmlns:xm="http://schemas.microsoft.com/office/excel/2006/main">
          <x14:cfRule type="dataBar" id="{D38C5CFD-AEC8-4A83-B222-E3B360A13BBA}">
            <x14:dataBar minLength="0" maxLength="100" border="1" negativeBarBorderColorSameAsPositive="0">
              <x14:cfvo type="autoMin"/>
              <x14:cfvo type="autoMax"/>
              <x14:borderColor rgb="FFFF555A"/>
              <x14:negativeFillColor rgb="FFFF0000"/>
              <x14:negativeBorderColor rgb="FFFF0000"/>
              <x14:axisColor rgb="FF000000"/>
            </x14:dataBar>
          </x14:cfRule>
          <xm:sqref>O11:O20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E772B-4D4B-4D47-AA4B-7EA3B30E6E91}">
  <sheetPr>
    <tabColor rgb="FFFF0000"/>
  </sheetPr>
  <dimension ref="A2:T5"/>
  <sheetViews>
    <sheetView showGridLines="0" tabSelected="1" topLeftCell="A4" zoomScale="70" zoomScaleNormal="70" workbookViewId="0">
      <selection activeCell="Z17" sqref="Z17"/>
    </sheetView>
  </sheetViews>
  <sheetFormatPr defaultRowHeight="14.4" x14ac:dyDescent="0.3"/>
  <sheetData>
    <row r="2" spans="1:20" x14ac:dyDescent="0.3">
      <c r="A2" s="37"/>
      <c r="B2" s="36"/>
      <c r="C2" s="36"/>
      <c r="D2" s="36"/>
      <c r="E2" s="36"/>
      <c r="F2" s="36"/>
      <c r="G2" s="36"/>
      <c r="H2" s="36"/>
      <c r="I2" s="36"/>
      <c r="J2" s="36"/>
      <c r="K2" s="36"/>
      <c r="L2" s="36"/>
      <c r="M2" s="36"/>
      <c r="N2" s="36"/>
      <c r="O2" s="36"/>
      <c r="P2" s="36"/>
      <c r="Q2" s="36"/>
      <c r="R2" s="36"/>
      <c r="S2" s="36"/>
      <c r="T2" s="36"/>
    </row>
    <row r="3" spans="1:20" x14ac:dyDescent="0.3">
      <c r="A3" s="36"/>
      <c r="B3" s="36"/>
      <c r="C3" s="36"/>
      <c r="D3" s="36"/>
      <c r="E3" s="36"/>
      <c r="F3" s="36"/>
      <c r="G3" s="36"/>
      <c r="H3" s="36"/>
      <c r="I3" s="36"/>
      <c r="J3" s="36"/>
      <c r="K3" s="36"/>
      <c r="L3" s="36"/>
      <c r="M3" s="36"/>
      <c r="N3" s="36"/>
      <c r="O3" s="36"/>
      <c r="P3" s="36"/>
      <c r="Q3" s="36"/>
      <c r="R3" s="36"/>
      <c r="S3" s="36"/>
      <c r="T3" s="36"/>
    </row>
    <row r="4" spans="1:20" x14ac:dyDescent="0.3">
      <c r="A4" s="37" t="s">
        <v>59</v>
      </c>
      <c r="B4" s="36"/>
      <c r="C4" s="36"/>
      <c r="D4" s="36"/>
      <c r="E4" s="36"/>
      <c r="F4" s="36"/>
      <c r="G4" s="36"/>
      <c r="H4" s="36"/>
      <c r="I4" s="36"/>
      <c r="J4" s="36"/>
      <c r="K4" s="36"/>
      <c r="L4" s="36"/>
      <c r="M4" s="36"/>
      <c r="N4" s="36"/>
      <c r="O4" s="36"/>
      <c r="P4" s="36"/>
      <c r="Q4" s="36"/>
      <c r="R4" s="36"/>
      <c r="S4" s="36"/>
      <c r="T4" s="36"/>
    </row>
    <row r="5" spans="1:20" x14ac:dyDescent="0.3">
      <c r="A5" s="36"/>
      <c r="B5" s="36"/>
      <c r="C5" s="36"/>
      <c r="D5" s="36"/>
      <c r="E5" s="36"/>
      <c r="F5" s="36"/>
      <c r="G5" s="36"/>
      <c r="H5" s="36"/>
      <c r="I5" s="36"/>
      <c r="J5" s="36"/>
      <c r="K5" s="36"/>
      <c r="L5" s="36"/>
      <c r="M5" s="36"/>
      <c r="N5" s="36"/>
      <c r="O5" s="36"/>
      <c r="P5" s="36"/>
      <c r="Q5" s="36"/>
      <c r="R5" s="36"/>
      <c r="S5" s="36"/>
      <c r="T5" s="36"/>
    </row>
  </sheetData>
  <mergeCells count="2">
    <mergeCell ref="A4:T5"/>
    <mergeCell ref="A2: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496b34e-8574-461b-be8a-b920d29f5c5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8C0463DB41A284C8696FBA5562BDC7B" ma:contentTypeVersion="12" ma:contentTypeDescription="Create a new document." ma:contentTypeScope="" ma:versionID="a51211bb14c3d7deac7b180b72a198a4">
  <xsd:schema xmlns:xsd="http://www.w3.org/2001/XMLSchema" xmlns:xs="http://www.w3.org/2001/XMLSchema" xmlns:p="http://schemas.microsoft.com/office/2006/metadata/properties" xmlns:ns3="d496b34e-8574-461b-be8a-b920d29f5c5e" xmlns:ns4="4ef7cccb-ca1b-495c-a644-dd3323324b66" targetNamespace="http://schemas.microsoft.com/office/2006/metadata/properties" ma:root="true" ma:fieldsID="3718a2a9b97f7f7b688e9a8a4a4b96da" ns3:_="" ns4:_="">
    <xsd:import namespace="d496b34e-8574-461b-be8a-b920d29f5c5e"/>
    <xsd:import namespace="4ef7cccb-ca1b-495c-a644-dd3323324b6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SearchProperties" minOccurs="0"/>
                <xsd:element ref="ns3:MediaServiceObjectDetectorVersions" minOccurs="0"/>
                <xsd:element ref="ns3:_activity" minOccurs="0"/>
                <xsd:element ref="ns3:MediaServiceGenerationTime" minOccurs="0"/>
                <xsd:element ref="ns3:MediaServiceEventHashCode" minOccurs="0"/>
                <xsd:element ref="ns3:MediaLengthInSecond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96b34e-8574-461b-be8a-b920d29f5c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ystemTags" ma:index="19"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f7cccb-ca1b-495c-a644-dd3323324b6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90EE8C-EB43-4D2F-8BE0-09BDB322ADAA}">
  <ds:schemaRefs>
    <ds:schemaRef ds:uri="http://purl.org/dc/elements/1.1/"/>
    <ds:schemaRef ds:uri="http://schemas.microsoft.com/office/2006/metadata/properties"/>
    <ds:schemaRef ds:uri="4ef7cccb-ca1b-495c-a644-dd3323324b66"/>
    <ds:schemaRef ds:uri="http://schemas.microsoft.com/office/2006/documentManagement/types"/>
    <ds:schemaRef ds:uri="d496b34e-8574-461b-be8a-b920d29f5c5e"/>
    <ds:schemaRef ds:uri="http://purl.org/dc/dcmitype/"/>
    <ds:schemaRef ds:uri="http://purl.org/dc/term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D1B339B0-9E6E-4B77-A955-56EC66A090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96b34e-8574-461b-be8a-b920d29f5c5e"/>
    <ds:schemaRef ds:uri="4ef7cccb-ca1b-495c-a644-dd3323324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301CF4-6626-4BA9-92A3-D199068363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Database</vt:lpstr>
      <vt:lpstr>Sales Trends</vt:lpstr>
      <vt:lpstr>Sales by Representative</vt:lpstr>
      <vt:lpstr>Sales by Region</vt:lpstr>
      <vt:lpstr>Sales by Customer Type</vt:lpstr>
      <vt:lpstr>Sales by Customer</vt:lpstr>
      <vt:lpstr>Main</vt:lpstr>
      <vt:lpstr>Dashboard</vt:lpstr>
      <vt:lpstr>Database!Extract</vt:lpstr>
      <vt:lpstr>Main!Extract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200013226-Mohamed Ayman Mahmoud  Hamed</dc:creator>
  <cp:lastModifiedBy>200013226-Mohamed Ayman Mahmoud  Hamed</cp:lastModifiedBy>
  <dcterms:created xsi:type="dcterms:W3CDTF">2026-04-08T10:43:58Z</dcterms:created>
  <dcterms:modified xsi:type="dcterms:W3CDTF">2026-04-10T14:32:20Z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0x010100B8C0463DB41A284C8696FBA5562BDC7B</vt:lpwstr>
  </property>
</Properties>
</file>